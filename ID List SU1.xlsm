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8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9.xml" ContentType="application/vnd.openxmlformats-officedocument.spreadsheetml.queryTable+xml"/>
  <Override PartName="/xl/tables/table29.xml" ContentType="application/vnd.openxmlformats-officedocument.spreadsheetml.table+xml"/>
  <Override PartName="/xl/queryTables/queryTable10.xml" ContentType="application/vnd.openxmlformats-officedocument.spreadsheetml.query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queryTables/queryTable11.xml" ContentType="application/vnd.openxmlformats-officedocument.spreadsheetml.query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nj\Desktop\"/>
    </mc:Choice>
  </mc:AlternateContent>
  <xr:revisionPtr revIDLastSave="0" documentId="13_ncr:1_{B9BCB07C-81C1-4792-B2ED-C36E011F94D7}" xr6:coauthVersionLast="47" xr6:coauthVersionMax="47" xr10:uidLastSave="{00000000-0000-0000-0000-000000000000}"/>
  <bookViews>
    <workbookView xWindow="-120" yWindow="-120" windowWidth="29040" windowHeight="15990" firstSheet="4" activeTab="4" xr2:uid="{6122A9F3-1FFF-4E2A-AEF7-8FE5503428E5}"/>
  </bookViews>
  <sheets>
    <sheet name="CombineQuery" sheetId="53" r:id="rId1"/>
    <sheet name="IOFunctionBlock " sheetId="52" r:id="rId2"/>
    <sheet name="IODataBlock" sheetId="51" r:id="rId3"/>
    <sheet name="HMI" sheetId="50" r:id="rId4"/>
    <sheet name="AnalogueMeasure" sheetId="5" r:id="rId5"/>
    <sheet name="DigitalInput" sheetId="6" r:id="rId6"/>
    <sheet name="MotorMod" sheetId="8" r:id="rId7"/>
    <sheet name="ValveOnOff" sheetId="10" r:id="rId8"/>
    <sheet name="ValveMod" sheetId="7" r:id="rId9"/>
    <sheet name="MotorOnOff" sheetId="9" r:id="rId10"/>
    <sheet name="ContPID" sheetId="12" r:id="rId11"/>
    <sheet name="Unit" sheetId="20" r:id="rId12"/>
    <sheet name="TempManager" sheetId="19" r:id="rId13"/>
    <sheet name="FunctionTemplates" sheetId="2" r:id="rId14"/>
    <sheet name="Eql_Query" sheetId="40" r:id="rId15"/>
    <sheet name="Settings" sheetId="45" r:id="rId16"/>
    <sheet name="IO_AnalogueMeasure" sheetId="30" r:id="rId17"/>
    <sheet name="IO_MotorModulating" sheetId="26" r:id="rId18"/>
    <sheet name="IO_ValveModulating" sheetId="31" r:id="rId19"/>
    <sheet name="IO_MotorOnOff" sheetId="35" r:id="rId20"/>
    <sheet name="IoListQuery" sheetId="29" r:id="rId21"/>
    <sheet name="IO_ValveOnOff" sheetId="32" r:id="rId22"/>
    <sheet name="IO_DigitalInput" sheetId="34" r:id="rId23"/>
    <sheet name="IO_RegPWM" sheetId="38" r:id="rId24"/>
    <sheet name="QueryAlarmTypes" sheetId="39" r:id="rId25"/>
    <sheet name="Sheet1" sheetId="28" r:id="rId26"/>
    <sheet name="QueryDI Alarms" sheetId="27" r:id="rId27"/>
    <sheet name="PWM" sheetId="17" r:id="rId28"/>
  </sheets>
  <functionGroups builtInGroupCount="19">
    <functionGroup name="KTEUDF"/>
  </functionGroups>
  <externalReferences>
    <externalReference r:id="rId29"/>
  </externalReferences>
  <definedNames>
    <definedName name="CAV_FEEDBACK">FunctionTemplates!$A$32</definedName>
    <definedName name="CAV_REFERENCE">FunctionTemplates!$A$33</definedName>
    <definedName name="COMM_CLOSED">FunctionTemplates!$A$35</definedName>
    <definedName name="COMM_ERROR">FunctionTemplates!$A$24</definedName>
    <definedName name="COMM_OPEN">FunctionTemplates!$A$34</definedName>
    <definedName name="commdamperclosed">[1]Settings!$C$7</definedName>
    <definedName name="commdamperopen">[1]Settings!$C$6</definedName>
    <definedName name="COOM_OPEN">FunctionTemplates!$A$34</definedName>
    <definedName name="ECBLUE_DB">FunctionTemplates!$G$13</definedName>
    <definedName name="ECBLUE_ERROR">FunctionTemplates!$A$29</definedName>
    <definedName name="ECBLUE_REFERENCE">FunctionTemplates!$A$28</definedName>
    <definedName name="ECBLUE_RUN">FunctionTemplates!$A$26</definedName>
    <definedName name="ECBLUE_SPEED">FunctionTemplates!$A$25</definedName>
    <definedName name="ECBLUE_START">FunctionTemplates!$A$27</definedName>
    <definedName name="ECBLUE_TEMP">FunctionTemplates!$A$30</definedName>
    <definedName name="ExternalData_1" localSheetId="0" hidden="1">CombineQuery!$A$1:$E$161</definedName>
    <definedName name="ExternalData_1" localSheetId="14" hidden="1">Eql_Query!$A$1:$H$508</definedName>
    <definedName name="ExternalData_1" localSheetId="1" hidden="1">'IOFunctionBlock '!$A$1:$H$207</definedName>
    <definedName name="ExternalData_1" localSheetId="20" hidden="1">IoListQuery!$A$1:$P$229</definedName>
    <definedName name="ExternalData_1" localSheetId="24" hidden="1">QueryAlarmTypes!$A$1:$C$129</definedName>
    <definedName name="ExternalData_1" localSheetId="26" hidden="1">'QueryDI Alarms'!$A$1:$F$125</definedName>
    <definedName name="ExternalData_2" localSheetId="0" hidden="1">CombineQuery!#REF!</definedName>
    <definedName name="ExternalData_2" localSheetId="1" hidden="1">'IOFunctionBlock '!#REF!</definedName>
    <definedName name="ExternalData_2" localSheetId="24" hidden="1">QueryAlarmTypes!$E$1:$J$9</definedName>
    <definedName name="ExternalData_3" localSheetId="0" hidden="1">CombineQuery!$G$1:$K$37</definedName>
    <definedName name="ExternalData_3" localSheetId="3" hidden="1">HMI!$A$1:$I$212</definedName>
    <definedName name="ExternalData_3" localSheetId="1" hidden="1">'IOFunctionBlock '!$L$1:$T$212</definedName>
    <definedName name="ExternalData_4" localSheetId="2" hidden="1">IODataBlock!$A$1:$G$212</definedName>
    <definedName name="ExternalData_4" localSheetId="1" hidden="1">'IOFunctionBlock '!$A$1:$J$197</definedName>
    <definedName name="FLOW_NOZZLE">FunctionTemplates!$A$31</definedName>
    <definedName name="FUN_AMSCall">FunctionTemplates!$A$11</definedName>
    <definedName name="FUN_AMSCall_V2">FunctionTemplates!$B$11</definedName>
    <definedName name="FUN_AnalogueMeasure">FunctionTemplates!$D$2</definedName>
    <definedName name="FUN_ContPID">FunctionTemplates!$E$2</definedName>
    <definedName name="FUN_DigitalInput">FunctionTemplates!$B$2</definedName>
    <definedName name="FUN_ECBLUE">FunctionTemplates!$G$14</definedName>
    <definedName name="FUN_ECBLUE_DATA_TO_HMI">FunctionTemplates!$G$15</definedName>
    <definedName name="FUN_ItlkDoor">FunctionTemplates!$H$2</definedName>
    <definedName name="FUN_MotorModulating">FunctionTemplates!$C$2</definedName>
    <definedName name="FUN_MotorOnOFF">FunctionTemplates!$G$2</definedName>
    <definedName name="FUN_RegPWM">FunctionTemplates!$I$2</definedName>
    <definedName name="FUN_ValveModulating">FunctionTemplates!$A$2</definedName>
    <definedName name="FUN_ValveOnOff">FunctionTemplates!$F$2</definedName>
    <definedName name="HMIPATH_AnalogueMeasure" localSheetId="0">#REF!</definedName>
    <definedName name="HMIPATH_AnalogueMeasure" localSheetId="3">#REF!</definedName>
    <definedName name="HMIPATH_AnalogueMeasure" localSheetId="2">#REF!</definedName>
    <definedName name="HMIPATH_AnalogueMeasure" localSheetId="1">#REF!</definedName>
    <definedName name="HMIPATH_AnalogueMeasure">FunctionTemplates!$D$3</definedName>
    <definedName name="HMIPATH_ContPID" localSheetId="0">#REF!</definedName>
    <definedName name="HMIPATH_ContPID" localSheetId="3">#REF!</definedName>
    <definedName name="HMIPATH_ContPID" localSheetId="2">#REF!</definedName>
    <definedName name="HMIPATH_ContPID" localSheetId="1">#REF!</definedName>
    <definedName name="HMIPATH_ContPID">FunctionTemplates!$E$3</definedName>
    <definedName name="HMIPATH_DigitalInput" localSheetId="0">#REF!</definedName>
    <definedName name="HMIPATH_DigitalInput" localSheetId="3">#REF!</definedName>
    <definedName name="HMIPATH_DigitalInput" localSheetId="2">#REF!</definedName>
    <definedName name="HMIPATH_DigitalInput" localSheetId="1">#REF!</definedName>
    <definedName name="HMIPATH_DigitalInput">FunctionTemplates!$B$3</definedName>
    <definedName name="HMIPATH_ItlkDoor">FunctionTemplates!$H$3</definedName>
    <definedName name="HMIPATH_MotorModulating" localSheetId="0">#REF!</definedName>
    <definedName name="HMIPATH_MotorModulating" localSheetId="3">#REF!</definedName>
    <definedName name="HMIPATH_MotorModulating" localSheetId="2">#REF!</definedName>
    <definedName name="HMIPATH_MotorModulating" localSheetId="1">#REF!</definedName>
    <definedName name="HMIPATH_MotorModulating">FunctionTemplates!$C$3</definedName>
    <definedName name="HMIPATH_MotorOnOFF" localSheetId="0">#REF!</definedName>
    <definedName name="HMIPATH_MotorOnOFF" localSheetId="3">#REF!</definedName>
    <definedName name="HMIPATH_MotorOnOFF" localSheetId="2">#REF!</definedName>
    <definedName name="HMIPATH_MotorOnOFF" localSheetId="1">#REF!</definedName>
    <definedName name="HMIPATH_MotorOnOFF">FunctionTemplates!$G$3</definedName>
    <definedName name="HMIPATH_RegPWM" localSheetId="0">#REF!</definedName>
    <definedName name="HMIPATH_RegPWM" localSheetId="3">#REF!</definedName>
    <definedName name="HMIPATH_RegPWM" localSheetId="2">#REF!</definedName>
    <definedName name="HMIPATH_RegPWM" localSheetId="1">#REF!</definedName>
    <definedName name="HMIPATH_RegPWM">FunctionTemplates!$I$3</definedName>
    <definedName name="HMIPATH_TempManager" localSheetId="0">#REF!</definedName>
    <definedName name="HMIPATH_TempManager" localSheetId="3">#REF!</definedName>
    <definedName name="HMIPATH_TempManager" localSheetId="2">#REF!</definedName>
    <definedName name="HMIPATH_TempManager" localSheetId="1">#REF!</definedName>
    <definedName name="HMIPATH_TempManager">FunctionTemplates!$A$12</definedName>
    <definedName name="HMIPATH_Unit" localSheetId="0">#REF!</definedName>
    <definedName name="HMIPATH_Unit" localSheetId="3">#REF!</definedName>
    <definedName name="HMIPATH_Unit" localSheetId="2">#REF!</definedName>
    <definedName name="HMIPATH_Unit" localSheetId="1">#REF!</definedName>
    <definedName name="HMIPATH_Unit">FunctionTemplates!$A$13</definedName>
    <definedName name="HMIPATH_ValveModulating" localSheetId="0">#REF!</definedName>
    <definedName name="HMIPATH_ValveModulating" localSheetId="3">#REF!</definedName>
    <definedName name="HMIPATH_ValveModulating" localSheetId="2">#REF!</definedName>
    <definedName name="HMIPATH_ValveModulating" localSheetId="1">#REF!</definedName>
    <definedName name="HMIPATH_ValveModulating">FunctionTemplates!$A$3</definedName>
    <definedName name="HMIPATH_ValveOnOff" localSheetId="0">#REF!</definedName>
    <definedName name="HMIPATH_ValveOnOff" localSheetId="3">#REF!</definedName>
    <definedName name="HMIPATH_ValveOnOff" localSheetId="2">#REF!</definedName>
    <definedName name="HMIPATH_ValveOnOff" localSheetId="1">#REF!</definedName>
    <definedName name="HMIPATH_ValveOnOff">FunctionTemplates!$F$3</definedName>
    <definedName name="MUX_AnalogueMeasure">FunctionTemplates!$D$4</definedName>
    <definedName name="MUX_ContPID">FunctionTemplates!$E$4</definedName>
    <definedName name="MUX_DigitalInput">FunctionTemplates!$B$4</definedName>
    <definedName name="MUX_MotorModulating">FunctionTemplates!$C$4</definedName>
    <definedName name="MUX_MotorOnOff">FunctionTemplates!$G$4</definedName>
    <definedName name="MUX_TemperatureManager">FunctionTemplates!$K$4</definedName>
    <definedName name="MUX_TempManager">FunctionTemplates!$K$4</definedName>
    <definedName name="MUX_Unit">FunctionTemplates!$J$4</definedName>
    <definedName name="MUX_ValveModulating">FunctionTemplates!$A$4</definedName>
    <definedName name="MUX_ValveOnOff">FunctionTemplates!$F$4</definedName>
    <definedName name="PLC_PREFIX">Settings!$C$1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5" l="1"/>
  <c r="L4" i="5"/>
  <c r="L5" i="5"/>
  <c r="L6" i="5"/>
  <c r="L7" i="5"/>
  <c r="L8" i="5"/>
  <c r="L9" i="5"/>
  <c r="C61" i="30"/>
  <c r="C60" i="30"/>
  <c r="C59" i="30"/>
  <c r="C58" i="30"/>
  <c r="C57" i="30"/>
  <c r="C56" i="30"/>
  <c r="C55" i="30"/>
  <c r="C54" i="30"/>
  <c r="C53" i="30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B2" i="34"/>
  <c r="D9" i="32"/>
  <c r="C9" i="32"/>
  <c r="D8" i="32"/>
  <c r="C8" i="32"/>
  <c r="D7" i="32"/>
  <c r="C7" i="32"/>
  <c r="D6" i="32"/>
  <c r="C6" i="32"/>
  <c r="D5" i="32"/>
  <c r="C5" i="32"/>
  <c r="D4" i="32"/>
  <c r="C4" i="32"/>
  <c r="D3" i="32"/>
  <c r="C3" i="32"/>
  <c r="D2" i="32"/>
  <c r="C2" i="32"/>
  <c r="E9" i="32"/>
  <c r="E8" i="32"/>
  <c r="E7" i="32"/>
  <c r="E6" i="32"/>
  <c r="E5" i="32"/>
  <c r="E4" i="32"/>
  <c r="E3" i="32"/>
  <c r="E2" i="32"/>
  <c r="H53" i="31"/>
  <c r="H52" i="31"/>
  <c r="H51" i="31"/>
  <c r="H50" i="31"/>
  <c r="H49" i="31"/>
  <c r="H48" i="31"/>
  <c r="H47" i="31"/>
  <c r="H46" i="31"/>
  <c r="H45" i="31"/>
  <c r="H44" i="31"/>
  <c r="H43" i="31"/>
  <c r="H42" i="31"/>
  <c r="H41" i="31"/>
  <c r="H40" i="31"/>
  <c r="H39" i="31"/>
  <c r="H38" i="31"/>
  <c r="H37" i="31"/>
  <c r="H36" i="31"/>
  <c r="H35" i="31"/>
  <c r="H34" i="31"/>
  <c r="H33" i="31"/>
  <c r="H32" i="31"/>
  <c r="H31" i="31"/>
  <c r="H30" i="31"/>
  <c r="H29" i="31"/>
  <c r="H28" i="31"/>
  <c r="H27" i="31"/>
  <c r="H26" i="31"/>
  <c r="H25" i="31"/>
  <c r="I53" i="31"/>
  <c r="I52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F10" i="26"/>
  <c r="F9" i="26"/>
  <c r="F8" i="26"/>
  <c r="F7" i="26"/>
  <c r="F6" i="26"/>
  <c r="F5" i="26"/>
  <c r="F4" i="26"/>
  <c r="F3" i="26"/>
  <c r="F2" i="26"/>
  <c r="E10" i="26"/>
  <c r="E9" i="26"/>
  <c r="E8" i="26"/>
  <c r="E7" i="26"/>
  <c r="E6" i="26"/>
  <c r="E5" i="26"/>
  <c r="E4" i="26"/>
  <c r="E3" i="26"/>
  <c r="E2" i="26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4" i="31"/>
  <c r="C3" i="31"/>
  <c r="C2" i="31"/>
  <c r="E24" i="31"/>
  <c r="D24" i="31" a="1"/>
  <c r="D24" i="31" s="1"/>
  <c r="E23" i="31"/>
  <c r="D23" i="31" a="1"/>
  <c r="D23" i="31" s="1"/>
  <c r="E22" i="31"/>
  <c r="D22" i="31" a="1"/>
  <c r="D22" i="31" s="1"/>
  <c r="E21" i="31"/>
  <c r="D21" i="31" a="1"/>
  <c r="D21" i="31" s="1"/>
  <c r="E20" i="31"/>
  <c r="D20" i="31" a="1"/>
  <c r="D20" i="31" s="1"/>
  <c r="E19" i="31"/>
  <c r="D19" i="31" a="1"/>
  <c r="D19" i="31" s="1"/>
  <c r="E18" i="31"/>
  <c r="D18" i="31" a="1"/>
  <c r="D18" i="31" s="1"/>
  <c r="E17" i="31"/>
  <c r="D17" i="31" a="1"/>
  <c r="D17" i="31" s="1"/>
  <c r="E16" i="31"/>
  <c r="D16" i="31" a="1"/>
  <c r="D16" i="31" s="1"/>
  <c r="E15" i="31"/>
  <c r="D15" i="31" a="1"/>
  <c r="D15" i="31" s="1"/>
  <c r="E14" i="31"/>
  <c r="D14" i="31" a="1"/>
  <c r="D14" i="31" s="1"/>
  <c r="E13" i="31"/>
  <c r="D13" i="31" a="1"/>
  <c r="D13" i="31" s="1"/>
  <c r="E12" i="31"/>
  <c r="D12" i="31" a="1"/>
  <c r="D12" i="31" s="1"/>
  <c r="E11" i="31"/>
  <c r="D11" i="31" a="1"/>
  <c r="D11" i="31" s="1"/>
  <c r="E10" i="31"/>
  <c r="D10" i="31" a="1"/>
  <c r="D10" i="31" s="1"/>
  <c r="E9" i="31"/>
  <c r="D9" i="31" a="1"/>
  <c r="D9" i="31" s="1"/>
  <c r="E8" i="31"/>
  <c r="D8" i="31" a="1"/>
  <c r="D8" i="31" s="1"/>
  <c r="E7" i="31"/>
  <c r="D7" i="31" a="1"/>
  <c r="D7" i="31" s="1"/>
  <c r="E6" i="31"/>
  <c r="D6" i="31" a="1"/>
  <c r="D6" i="31" s="1"/>
  <c r="E5" i="31"/>
  <c r="D5" i="31" a="1"/>
  <c r="D5" i="31" s="1"/>
  <c r="E4" i="31"/>
  <c r="D4" i="31" a="1"/>
  <c r="D4" i="31" s="1"/>
  <c r="E3" i="31"/>
  <c r="D3" i="31" a="1"/>
  <c r="D3" i="31" s="1"/>
  <c r="E2" i="31"/>
  <c r="D2" i="31" a="1"/>
  <c r="D2" i="31" s="1"/>
  <c r="G24" i="31"/>
  <c r="F24" i="31"/>
  <c r="G23" i="31"/>
  <c r="F23" i="31"/>
  <c r="G22" i="31"/>
  <c r="F22" i="31"/>
  <c r="G21" i="31"/>
  <c r="F21" i="31"/>
  <c r="G20" i="31"/>
  <c r="F20" i="31"/>
  <c r="G19" i="31"/>
  <c r="F19" i="31"/>
  <c r="G18" i="31"/>
  <c r="F18" i="31"/>
  <c r="G17" i="31"/>
  <c r="F17" i="31"/>
  <c r="G16" i="31"/>
  <c r="F16" i="31"/>
  <c r="G15" i="31"/>
  <c r="F15" i="31"/>
  <c r="G14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G3" i="31"/>
  <c r="F3" i="31"/>
  <c r="G2" i="31"/>
  <c r="F2" i="31"/>
  <c r="L62" i="5"/>
  <c r="L46" i="5"/>
  <c r="L30" i="5"/>
  <c r="L14" i="5"/>
  <c r="L19" i="5"/>
  <c r="L61" i="5"/>
  <c r="L45" i="5"/>
  <c r="L29" i="5"/>
  <c r="L13" i="5"/>
  <c r="L38" i="5"/>
  <c r="L36" i="5"/>
  <c r="L60" i="5"/>
  <c r="L44" i="5"/>
  <c r="L28" i="5"/>
  <c r="L12" i="5"/>
  <c r="L21" i="5"/>
  <c r="L15" i="5"/>
  <c r="L59" i="5"/>
  <c r="L43" i="5"/>
  <c r="L27" i="5"/>
  <c r="L11" i="5"/>
  <c r="L26" i="5"/>
  <c r="L34" i="5"/>
  <c r="L32" i="5"/>
  <c r="L58" i="5"/>
  <c r="L42" i="5"/>
  <c r="L10" i="5"/>
  <c r="L20" i="5"/>
  <c r="L33" i="5"/>
  <c r="L47" i="5"/>
  <c r="L57" i="5"/>
  <c r="L41" i="5"/>
  <c r="L25" i="5"/>
  <c r="L24" i="5"/>
  <c r="L22" i="5"/>
  <c r="L17" i="5"/>
  <c r="L31" i="5"/>
  <c r="L56" i="5"/>
  <c r="L40" i="5"/>
  <c r="L37" i="5"/>
  <c r="L18" i="5"/>
  <c r="L55" i="5"/>
  <c r="L39" i="5"/>
  <c r="L23" i="5"/>
  <c r="L54" i="5"/>
  <c r="L53" i="5"/>
  <c r="L16" i="5"/>
  <c r="L52" i="5"/>
  <c r="L51" i="5"/>
  <c r="L35" i="5"/>
  <c r="L49" i="5"/>
  <c r="L50" i="5"/>
  <c r="L48" i="5"/>
  <c r="B61" i="30" l="1"/>
  <c r="B60" i="30"/>
  <c r="B59" i="30"/>
  <c r="B58" i="30"/>
  <c r="B57" i="30"/>
  <c r="B56" i="30"/>
  <c r="B55" i="30"/>
  <c r="B54" i="30"/>
  <c r="B53" i="30"/>
  <c r="D10" i="26" l="1"/>
  <c r="D9" i="26"/>
  <c r="D8" i="26"/>
  <c r="D7" i="26"/>
  <c r="D6" i="26"/>
  <c r="D5" i="26"/>
  <c r="D4" i="26"/>
  <c r="D3" i="26"/>
  <c r="D2" i="26"/>
  <c r="G10" i="26"/>
  <c r="G9" i="26"/>
  <c r="G8" i="26"/>
  <c r="G7" i="26"/>
  <c r="G6" i="26"/>
  <c r="G5" i="26"/>
  <c r="G4" i="26"/>
  <c r="G3" i="26"/>
  <c r="G2" i="26"/>
  <c r="K10" i="26"/>
  <c r="K9" i="26"/>
  <c r="K8" i="26"/>
  <c r="K7" i="26"/>
  <c r="K6" i="26"/>
  <c r="K5" i="26"/>
  <c r="K4" i="26"/>
  <c r="K3" i="26"/>
  <c r="K2" i="26"/>
  <c r="J10" i="26"/>
  <c r="J9" i="26"/>
  <c r="J8" i="26"/>
  <c r="J7" i="26"/>
  <c r="J6" i="26"/>
  <c r="J5" i="26"/>
  <c r="J4" i="26"/>
  <c r="J3" i="26"/>
  <c r="J2" i="26"/>
  <c r="I10" i="26"/>
  <c r="I9" i="26"/>
  <c r="I8" i="26"/>
  <c r="I7" i="26"/>
  <c r="I6" i="26"/>
  <c r="I5" i="26"/>
  <c r="I4" i="26"/>
  <c r="I3" i="26"/>
  <c r="I2" i="26"/>
  <c r="C10" i="26"/>
  <c r="C9" i="26"/>
  <c r="C8" i="26"/>
  <c r="C7" i="26"/>
  <c r="C6" i="26"/>
  <c r="C5" i="26"/>
  <c r="C4" i="26"/>
  <c r="C3" i="26"/>
  <c r="C2" i="26"/>
  <c r="B9" i="26"/>
  <c r="B8" i="26"/>
  <c r="B10" i="26"/>
  <c r="B7" i="26"/>
  <c r="B6" i="26"/>
  <c r="B5" i="26"/>
  <c r="B4" i="26"/>
  <c r="B3" i="26"/>
  <c r="B2" i="26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B4" i="30"/>
  <c r="B3" i="30"/>
  <c r="B2" i="30"/>
  <c r="H13" i="19" l="1"/>
  <c r="K13" i="19" s="1"/>
  <c r="E13" i="19"/>
  <c r="F13" i="19" s="1"/>
  <c r="H12" i="19"/>
  <c r="K12" i="19" s="1"/>
  <c r="E12" i="19"/>
  <c r="F12" i="19" s="1"/>
  <c r="H11" i="19"/>
  <c r="K11" i="19" s="1"/>
  <c r="E11" i="19"/>
  <c r="F11" i="19" s="1"/>
  <c r="E6" i="20"/>
  <c r="E5" i="20"/>
  <c r="H5" i="20"/>
  <c r="K5" i="20" s="1"/>
  <c r="H6" i="20"/>
  <c r="K6" i="20" s="1"/>
  <c r="F6" i="20" l="1"/>
  <c r="F5" i="20"/>
  <c r="D6" i="20" a="1"/>
  <c r="D12" i="19" a="1"/>
  <c r="D5" i="20" a="1"/>
  <c r="D2" i="8" a="1"/>
  <c r="D11" i="19" a="1"/>
  <c r="D13" i="19" a="1"/>
  <c r="D2" i="8" l="1"/>
  <c r="D6" i="20"/>
  <c r="D5" i="20"/>
  <c r="D12" i="19"/>
  <c r="D11" i="19"/>
  <c r="D13" i="19"/>
  <c r="A21" i="6"/>
  <c r="A22" i="6"/>
  <c r="A23" i="6"/>
  <c r="A24" i="6"/>
  <c r="A25" i="6"/>
  <c r="A26" i="6"/>
  <c r="A27" i="6"/>
  <c r="A28" i="6"/>
  <c r="A29" i="6"/>
  <c r="A30" i="6"/>
  <c r="A31" i="6"/>
  <c r="A32" i="6"/>
  <c r="G21" i="6"/>
  <c r="G22" i="6"/>
  <c r="G23" i="6"/>
  <c r="G24" i="6"/>
  <c r="G25" i="6"/>
  <c r="G26" i="6"/>
  <c r="G27" i="6"/>
  <c r="G28" i="6"/>
  <c r="G29" i="6"/>
  <c r="G30" i="6"/>
  <c r="G31" i="6"/>
  <c r="G32" i="6"/>
  <c r="H21" i="6"/>
  <c r="K21" i="6" s="1"/>
  <c r="H22" i="6"/>
  <c r="K22" i="6" s="1"/>
  <c r="H23" i="6"/>
  <c r="K23" i="6" s="1"/>
  <c r="H24" i="6"/>
  <c r="K24" i="6" s="1"/>
  <c r="H25" i="6"/>
  <c r="K25" i="6" s="1"/>
  <c r="H26" i="6"/>
  <c r="K26" i="6" s="1"/>
  <c r="H27" i="6"/>
  <c r="K27" i="6" s="1"/>
  <c r="H28" i="6"/>
  <c r="K28" i="6" s="1"/>
  <c r="H29" i="6"/>
  <c r="K29" i="6" s="1"/>
  <c r="H30" i="6"/>
  <c r="K30" i="6" s="1"/>
  <c r="H31" i="6"/>
  <c r="K31" i="6" s="1"/>
  <c r="H32" i="6"/>
  <c r="K32" i="6" s="1"/>
  <c r="E62" i="5"/>
  <c r="E61" i="5"/>
  <c r="E60" i="5"/>
  <c r="E59" i="5"/>
  <c r="E58" i="5"/>
  <c r="E57" i="5"/>
  <c r="E56" i="5"/>
  <c r="E55" i="5"/>
  <c r="E54" i="5"/>
  <c r="H60" i="5"/>
  <c r="K60" i="5" s="1"/>
  <c r="H61" i="5"/>
  <c r="K61" i="5" s="1"/>
  <c r="H62" i="5"/>
  <c r="K62" i="5" s="1"/>
  <c r="H54" i="5"/>
  <c r="K54" i="5" s="1"/>
  <c r="H55" i="5"/>
  <c r="K55" i="5" s="1"/>
  <c r="H56" i="5"/>
  <c r="K56" i="5" s="1"/>
  <c r="H57" i="5"/>
  <c r="K57" i="5" s="1"/>
  <c r="H58" i="5"/>
  <c r="K58" i="5" s="1"/>
  <c r="H59" i="5"/>
  <c r="K59" i="5" s="1"/>
  <c r="E10" i="10"/>
  <c r="E9" i="10"/>
  <c r="H9" i="10"/>
  <c r="K9" i="10" s="1"/>
  <c r="H10" i="10"/>
  <c r="K10" i="10" s="1"/>
  <c r="L13" i="19" a="1"/>
  <c r="M2" i="8" a="1"/>
  <c r="L5" i="20" a="1"/>
  <c r="D9" i="10" a="1"/>
  <c r="D10" i="10" a="1"/>
  <c r="L11" i="19" a="1"/>
  <c r="L2" i="8" a="1"/>
  <c r="L6" i="20" a="1"/>
  <c r="L12" i="19" a="1"/>
  <c r="D60" i="5" a="1"/>
  <c r="D61" i="5" a="1"/>
  <c r="D56" i="5" a="1"/>
  <c r="D62" i="5" a="1"/>
  <c r="D54" i="5" a="1"/>
  <c r="D58" i="5" a="1"/>
  <c r="D59" i="5" a="1"/>
  <c r="D55" i="5" a="1"/>
  <c r="D57" i="5" a="1"/>
  <c r="D59" i="5" l="1"/>
  <c r="D60" i="5"/>
  <c r="D61" i="5"/>
  <c r="D62" i="5"/>
  <c r="D9" i="10"/>
  <c r="D57" i="5"/>
  <c r="D54" i="5"/>
  <c r="D10" i="10"/>
  <c r="D55" i="5"/>
  <c r="D58" i="5"/>
  <c r="D56" i="5"/>
  <c r="F9" i="10"/>
  <c r="F10" i="10"/>
  <c r="L11" i="19"/>
  <c r="L6" i="20"/>
  <c r="M2" i="8"/>
  <c r="L2" i="8"/>
  <c r="L12" i="19"/>
  <c r="L5" i="20"/>
  <c r="L13" i="19"/>
  <c r="H8" i="10"/>
  <c r="K8" i="10" s="1"/>
  <c r="E8" i="10"/>
  <c r="H7" i="10"/>
  <c r="K7" i="10" s="1"/>
  <c r="E7" i="10"/>
  <c r="H6" i="10"/>
  <c r="K6" i="10" s="1"/>
  <c r="E6" i="10"/>
  <c r="H5" i="10"/>
  <c r="K5" i="10" s="1"/>
  <c r="E5" i="10"/>
  <c r="H4" i="10"/>
  <c r="K4" i="10" s="1"/>
  <c r="E4" i="10"/>
  <c r="H3" i="10"/>
  <c r="K3" i="10" s="1"/>
  <c r="E3" i="10"/>
  <c r="C40" i="12"/>
  <c r="G40" i="12"/>
  <c r="J40" i="12"/>
  <c r="N40" i="12" s="1"/>
  <c r="C33" i="12"/>
  <c r="C34" i="12"/>
  <c r="C35" i="12"/>
  <c r="C36" i="12"/>
  <c r="C37" i="12"/>
  <c r="C38" i="12"/>
  <c r="C39" i="12"/>
  <c r="G33" i="12"/>
  <c r="G34" i="12"/>
  <c r="G35" i="12"/>
  <c r="G36" i="12"/>
  <c r="G37" i="12"/>
  <c r="G38" i="12"/>
  <c r="G39" i="12"/>
  <c r="J33" i="12"/>
  <c r="N33" i="12" s="1"/>
  <c r="J34" i="12"/>
  <c r="N34" i="12" s="1"/>
  <c r="J35" i="12"/>
  <c r="N35" i="12" s="1"/>
  <c r="J36" i="12"/>
  <c r="N36" i="12" s="1"/>
  <c r="J37" i="12"/>
  <c r="N37" i="12" s="1"/>
  <c r="J38" i="12"/>
  <c r="N38" i="12" s="1"/>
  <c r="J39" i="12"/>
  <c r="N39" i="12" s="1"/>
  <c r="G32" i="12"/>
  <c r="C31" i="12"/>
  <c r="C32" i="12"/>
  <c r="G31" i="12"/>
  <c r="J31" i="12"/>
  <c r="N31" i="12" s="1"/>
  <c r="J32" i="12"/>
  <c r="N32" i="12" s="1"/>
  <c r="H10" i="19"/>
  <c r="K10" i="19" s="1"/>
  <c r="H9" i="19"/>
  <c r="K9" i="19" s="1"/>
  <c r="H8" i="19"/>
  <c r="K8" i="19" s="1"/>
  <c r="H7" i="19"/>
  <c r="K7" i="19" s="1"/>
  <c r="H6" i="19"/>
  <c r="K6" i="19" s="1"/>
  <c r="H5" i="19"/>
  <c r="K5" i="19" s="1"/>
  <c r="H4" i="19"/>
  <c r="K4" i="19" s="1"/>
  <c r="E10" i="19"/>
  <c r="E9" i="19"/>
  <c r="E8" i="19"/>
  <c r="E7" i="19"/>
  <c r="E6" i="19"/>
  <c r="E5" i="19"/>
  <c r="E4" i="19"/>
  <c r="C27" i="12"/>
  <c r="C28" i="12"/>
  <c r="C29" i="12"/>
  <c r="C30" i="12"/>
  <c r="G27" i="12"/>
  <c r="G28" i="12"/>
  <c r="G29" i="12"/>
  <c r="G30" i="12"/>
  <c r="J27" i="12"/>
  <c r="N27" i="12" s="1"/>
  <c r="J28" i="12"/>
  <c r="N28" i="12" s="1"/>
  <c r="J29" i="12"/>
  <c r="N29" i="12" s="1"/>
  <c r="J30" i="12"/>
  <c r="N30" i="12" s="1"/>
  <c r="C23" i="12"/>
  <c r="C24" i="12"/>
  <c r="C25" i="12"/>
  <c r="C26" i="12"/>
  <c r="G23" i="12"/>
  <c r="G24" i="12"/>
  <c r="G25" i="12"/>
  <c r="G26" i="12"/>
  <c r="J23" i="12"/>
  <c r="N23" i="12" s="1"/>
  <c r="J24" i="12"/>
  <c r="N24" i="12" s="1"/>
  <c r="J25" i="12"/>
  <c r="N25" i="12" s="1"/>
  <c r="J26" i="12"/>
  <c r="N26" i="12" s="1"/>
  <c r="C22" i="12"/>
  <c r="G22" i="12"/>
  <c r="J22" i="12"/>
  <c r="N22" i="12" s="1"/>
  <c r="C11" i="12"/>
  <c r="C12" i="12"/>
  <c r="C13" i="12"/>
  <c r="C14" i="12"/>
  <c r="C15" i="12"/>
  <c r="C16" i="12"/>
  <c r="C17" i="12"/>
  <c r="C18" i="12"/>
  <c r="C19" i="12"/>
  <c r="C20" i="12"/>
  <c r="C21" i="12"/>
  <c r="G11" i="12"/>
  <c r="G12" i="12"/>
  <c r="G13" i="12"/>
  <c r="G14" i="12"/>
  <c r="G15" i="12"/>
  <c r="G16" i="12"/>
  <c r="G17" i="12"/>
  <c r="G18" i="12"/>
  <c r="G19" i="12"/>
  <c r="G20" i="12"/>
  <c r="G21" i="12"/>
  <c r="J11" i="12"/>
  <c r="N11" i="12" s="1"/>
  <c r="J12" i="12"/>
  <c r="N12" i="12" s="1"/>
  <c r="J13" i="12"/>
  <c r="N13" i="12" s="1"/>
  <c r="J14" i="12"/>
  <c r="N14" i="12" s="1"/>
  <c r="J15" i="12"/>
  <c r="N15" i="12" s="1"/>
  <c r="J16" i="12"/>
  <c r="N16" i="12" s="1"/>
  <c r="J17" i="12"/>
  <c r="N17" i="12" s="1"/>
  <c r="J18" i="12"/>
  <c r="N18" i="12" s="1"/>
  <c r="J19" i="12"/>
  <c r="N19" i="12" s="1"/>
  <c r="J20" i="12"/>
  <c r="N20" i="12" s="1"/>
  <c r="J21" i="12"/>
  <c r="N21" i="12" s="1"/>
  <c r="E3" i="19"/>
  <c r="E4" i="20"/>
  <c r="E3" i="20"/>
  <c r="C8" i="12"/>
  <c r="C9" i="12"/>
  <c r="C10" i="12"/>
  <c r="G8" i="12"/>
  <c r="G9" i="12"/>
  <c r="G10" i="12"/>
  <c r="J8" i="12"/>
  <c r="N8" i="12" s="1"/>
  <c r="J9" i="12"/>
  <c r="N9" i="12" s="1"/>
  <c r="J10" i="12"/>
  <c r="N10" i="12" s="1"/>
  <c r="C3" i="12"/>
  <c r="C4" i="12"/>
  <c r="C5" i="12"/>
  <c r="C6" i="12"/>
  <c r="C7" i="12"/>
  <c r="G3" i="12"/>
  <c r="G4" i="12"/>
  <c r="G5" i="12"/>
  <c r="G6" i="12"/>
  <c r="G7" i="12"/>
  <c r="J3" i="12"/>
  <c r="N3" i="12" s="1"/>
  <c r="J4" i="12"/>
  <c r="N4" i="12" s="1"/>
  <c r="J5" i="12"/>
  <c r="N5" i="12" s="1"/>
  <c r="J6" i="12"/>
  <c r="N6" i="12" s="1"/>
  <c r="J7" i="12"/>
  <c r="N7" i="12" s="1"/>
  <c r="F19" i="12" a="1"/>
  <c r="E6" i="12" a="1"/>
  <c r="E40" i="12" a="1"/>
  <c r="E3" i="12" a="1"/>
  <c r="E26" i="12" a="1"/>
  <c r="E25" i="12" a="1"/>
  <c r="D5" i="19" a="1"/>
  <c r="F10" i="12" a="1"/>
  <c r="F29" i="12" a="1"/>
  <c r="E28" i="12" a="1"/>
  <c r="D4" i="20" a="1"/>
  <c r="D9" i="19" a="1"/>
  <c r="F34" i="12" a="1"/>
  <c r="D4" i="19" a="1"/>
  <c r="D3" i="20" a="1"/>
  <c r="F16" i="12" a="1"/>
  <c r="F35" i="12" a="1"/>
  <c r="D6" i="10" a="1"/>
  <c r="L9" i="10" a="1"/>
  <c r="E9" i="12" a="1"/>
  <c r="E33" i="12" a="1"/>
  <c r="D8" i="10" a="1"/>
  <c r="E35" i="12" a="1"/>
  <c r="L10" i="10" a="1"/>
  <c r="F6" i="12" a="1"/>
  <c r="E18" i="12" a="1"/>
  <c r="E32" i="12" a="1"/>
  <c r="E34" i="12" a="1"/>
  <c r="E17" i="12" a="1"/>
  <c r="F32" i="12" a="1"/>
  <c r="E16" i="12" a="1"/>
  <c r="E7" i="12" a="1"/>
  <c r="F22" i="12" a="1"/>
  <c r="F30" i="12" a="1"/>
  <c r="E29" i="12" a="1"/>
  <c r="E12" i="12" a="1"/>
  <c r="F26" i="12" a="1"/>
  <c r="E24" i="12" a="1"/>
  <c r="E31" i="12" a="1"/>
  <c r="F3" i="12" a="1"/>
  <c r="E30" i="12" a="1"/>
  <c r="E8" i="12" a="1"/>
  <c r="E13" i="12" a="1"/>
  <c r="D10" i="19" a="1"/>
  <c r="E4" i="12" a="1"/>
  <c r="E21" i="12" a="1"/>
  <c r="F8" i="12" a="1"/>
  <c r="F11" i="12" a="1"/>
  <c r="F4" i="12" a="1"/>
  <c r="F37" i="12" a="1"/>
  <c r="F27" i="12" a="1"/>
  <c r="F36" i="12" a="1"/>
  <c r="F18" i="12" a="1"/>
  <c r="E20" i="12" a="1"/>
  <c r="E19" i="12" a="1"/>
  <c r="F31" i="12" a="1"/>
  <c r="D7" i="19" a="1"/>
  <c r="E10" i="12" a="1"/>
  <c r="F25" i="12" a="1"/>
  <c r="F7" i="12" a="1"/>
  <c r="F39" i="12" a="1"/>
  <c r="E15" i="12" a="1"/>
  <c r="M10" i="10" a="1"/>
  <c r="F12" i="12" a="1"/>
  <c r="F38" i="12" a="1"/>
  <c r="F13" i="12" a="1"/>
  <c r="E39" i="12" a="1"/>
  <c r="E14" i="12" a="1"/>
  <c r="F23" i="12" a="1"/>
  <c r="F20" i="12" a="1"/>
  <c r="E5" i="12" a="1"/>
  <c r="E37" i="12" a="1"/>
  <c r="D3" i="10" a="1"/>
  <c r="F28" i="12" a="1"/>
  <c r="E38" i="12" a="1"/>
  <c r="F14" i="12" a="1"/>
  <c r="F5" i="12" a="1"/>
  <c r="D8" i="19" a="1"/>
  <c r="E11" i="12" a="1"/>
  <c r="E22" i="12" a="1"/>
  <c r="F24" i="12" a="1"/>
  <c r="D6" i="19" a="1"/>
  <c r="F40" i="12" a="1"/>
  <c r="D7" i="10" a="1"/>
  <c r="F9" i="12" a="1"/>
  <c r="E36" i="12" a="1"/>
  <c r="D4" i="10" a="1"/>
  <c r="M9" i="10" a="1"/>
  <c r="F33" i="12" a="1"/>
  <c r="E23" i="12" a="1"/>
  <c r="E27" i="12" a="1"/>
  <c r="D5" i="10" a="1"/>
  <c r="F15" i="12" a="1"/>
  <c r="D3" i="19" a="1"/>
  <c r="F21" i="12" a="1"/>
  <c r="F17" i="12" a="1"/>
  <c r="E11" i="12" l="1"/>
  <c r="E33" i="12"/>
  <c r="E22" i="12"/>
  <c r="D4" i="10"/>
  <c r="D5" i="10"/>
  <c r="E4" i="12"/>
  <c r="D3" i="19"/>
  <c r="L10" i="10"/>
  <c r="M10" i="10"/>
  <c r="E18" i="12"/>
  <c r="E21" i="12"/>
  <c r="D4" i="19"/>
  <c r="D5" i="19"/>
  <c r="E7" i="12"/>
  <c r="D6" i="10"/>
  <c r="E10" i="12"/>
  <c r="D7" i="19"/>
  <c r="E39" i="12"/>
  <c r="E20" i="12"/>
  <c r="E19" i="12"/>
  <c r="D6" i="19"/>
  <c r="E6" i="12"/>
  <c r="E17" i="12"/>
  <c r="E5" i="12"/>
  <c r="E9" i="12"/>
  <c r="E16" i="12"/>
  <c r="E26" i="12"/>
  <c r="E30" i="12"/>
  <c r="D8" i="19"/>
  <c r="E31" i="12"/>
  <c r="E38" i="12"/>
  <c r="D7" i="10"/>
  <c r="M9" i="10"/>
  <c r="L9" i="10"/>
  <c r="E8" i="12"/>
  <c r="E15" i="12"/>
  <c r="E25" i="12"/>
  <c r="E29" i="12"/>
  <c r="D9" i="19"/>
  <c r="E37" i="12"/>
  <c r="E28" i="12"/>
  <c r="E36" i="12"/>
  <c r="E40" i="12"/>
  <c r="D8" i="10"/>
  <c r="E3" i="12"/>
  <c r="E14" i="12"/>
  <c r="E24" i="12"/>
  <c r="D10" i="19"/>
  <c r="E13" i="12"/>
  <c r="E23" i="12"/>
  <c r="E27" i="12"/>
  <c r="E32" i="12"/>
  <c r="E35" i="12"/>
  <c r="E12" i="12"/>
  <c r="E34" i="12"/>
  <c r="D3" i="10"/>
  <c r="F4" i="10"/>
  <c r="F5" i="10"/>
  <c r="F4" i="19"/>
  <c r="F5" i="19"/>
  <c r="F6" i="10"/>
  <c r="F7" i="19"/>
  <c r="F6" i="19"/>
  <c r="F8" i="19"/>
  <c r="F7" i="10"/>
  <c r="F9" i="19"/>
  <c r="F8" i="10"/>
  <c r="F10" i="19"/>
  <c r="F3" i="10"/>
  <c r="F33" i="12"/>
  <c r="F11" i="12"/>
  <c r="F22" i="12"/>
  <c r="F21" i="12"/>
  <c r="F12" i="12"/>
  <c r="F20" i="12"/>
  <c r="F19" i="12"/>
  <c r="F34" i="12"/>
  <c r="F18" i="12"/>
  <c r="F17" i="12"/>
  <c r="F39" i="12"/>
  <c r="F7" i="12"/>
  <c r="F6" i="12"/>
  <c r="F9" i="12"/>
  <c r="F16" i="12"/>
  <c r="F26" i="12"/>
  <c r="F30" i="12"/>
  <c r="F31" i="12"/>
  <c r="F38" i="12"/>
  <c r="F10" i="12"/>
  <c r="F5" i="12"/>
  <c r="F4" i="12"/>
  <c r="F8" i="12"/>
  <c r="F15" i="12"/>
  <c r="F25" i="12"/>
  <c r="F29" i="12"/>
  <c r="F37" i="12"/>
  <c r="F3" i="12"/>
  <c r="F14" i="12"/>
  <c r="F24" i="12"/>
  <c r="F28" i="12"/>
  <c r="F36" i="12"/>
  <c r="F40" i="12"/>
  <c r="F13" i="12"/>
  <c r="F23" i="12"/>
  <c r="F27" i="12"/>
  <c r="F32" i="12"/>
  <c r="F35" i="12"/>
  <c r="H33" i="12"/>
  <c r="H11" i="12"/>
  <c r="H22" i="12"/>
  <c r="H21" i="12"/>
  <c r="H12" i="12"/>
  <c r="H20" i="12"/>
  <c r="H19" i="12"/>
  <c r="H34" i="12"/>
  <c r="H18" i="12"/>
  <c r="H17" i="12"/>
  <c r="H39" i="12"/>
  <c r="H7" i="12"/>
  <c r="H6" i="12"/>
  <c r="H9" i="12"/>
  <c r="H16" i="12"/>
  <c r="H26" i="12"/>
  <c r="H30" i="12"/>
  <c r="H31" i="12"/>
  <c r="H38" i="12"/>
  <c r="H10" i="12"/>
  <c r="H5" i="12"/>
  <c r="H4" i="12"/>
  <c r="H8" i="12"/>
  <c r="H15" i="12"/>
  <c r="H25" i="12"/>
  <c r="H29" i="12"/>
  <c r="H37" i="12"/>
  <c r="H3" i="12"/>
  <c r="H14" i="12"/>
  <c r="H24" i="12"/>
  <c r="H28" i="12"/>
  <c r="H36" i="12"/>
  <c r="H40" i="12"/>
  <c r="H13" i="12"/>
  <c r="H23" i="12"/>
  <c r="H27" i="12"/>
  <c r="H35" i="12"/>
  <c r="D3" i="20"/>
  <c r="D4" i="20"/>
  <c r="H32" i="12"/>
  <c r="Q24" i="12" a="1"/>
  <c r="Q38" i="12" a="1"/>
  <c r="Q21" i="12" a="1"/>
  <c r="P36" i="12" a="1"/>
  <c r="Q27" i="12" a="1"/>
  <c r="Q15" i="12" a="1"/>
  <c r="P9" i="12" a="1"/>
  <c r="P38" i="12" a="1"/>
  <c r="Q8" i="12" a="1"/>
  <c r="O4" i="12" a="1"/>
  <c r="Q36" i="12" a="1"/>
  <c r="L4" i="10" a="1"/>
  <c r="P16" i="12" a="1"/>
  <c r="O16" i="12" a="1"/>
  <c r="P29" i="12" a="1"/>
  <c r="O30" i="12" a="1"/>
  <c r="O12" i="12" a="1"/>
  <c r="O14" i="12" a="1"/>
  <c r="L5" i="10" a="1"/>
  <c r="O31" i="12" a="1"/>
  <c r="O40" i="12" a="1"/>
  <c r="O22" i="12" a="1"/>
  <c r="P26" i="12" a="1"/>
  <c r="P33" i="12" a="1"/>
  <c r="P17" i="12" a="1"/>
  <c r="O18" i="12" a="1"/>
  <c r="L6" i="10" a="1"/>
  <c r="O20" i="12" a="1"/>
  <c r="Q35" i="12" a="1"/>
  <c r="L3" i="19" a="1"/>
  <c r="P34" i="12" a="1"/>
  <c r="L3" i="20" a="1"/>
  <c r="Q14" i="12" a="1"/>
  <c r="Q4" i="12" a="1"/>
  <c r="O32" i="12" a="1"/>
  <c r="O28" i="12" a="1"/>
  <c r="Q33" i="12" a="1"/>
  <c r="Q22" i="12" a="1"/>
  <c r="P12" i="12" a="1"/>
  <c r="Q32" i="12" a="1"/>
  <c r="O3" i="12" a="1"/>
  <c r="O36" i="12" a="1"/>
  <c r="L8" i="19" a="1"/>
  <c r="O34" i="12" a="1"/>
  <c r="O11" i="12" a="1"/>
  <c r="O10" i="12" a="1"/>
  <c r="P21" i="12" a="1"/>
  <c r="L4" i="19" a="1"/>
  <c r="P23" i="12" a="1"/>
  <c r="O38" i="12" a="1"/>
  <c r="M3" i="10" a="1"/>
  <c r="Q29" i="12" a="1"/>
  <c r="P18" i="12" a="1"/>
  <c r="Q28" i="12" a="1"/>
  <c r="O17" i="12" a="1"/>
  <c r="O7" i="12" a="1"/>
  <c r="P4" i="12" a="1"/>
  <c r="P19" i="12" a="1"/>
  <c r="L9" i="19" a="1"/>
  <c r="O8" i="12" a="1"/>
  <c r="O39" i="12" a="1"/>
  <c r="M7" i="10" a="1"/>
  <c r="Q37" i="12" a="1"/>
  <c r="P14" i="12" a="1"/>
  <c r="Q39" i="12" a="1"/>
  <c r="O27" i="12" a="1"/>
  <c r="O6" i="12" a="1"/>
  <c r="P24" i="12" a="1"/>
  <c r="P35" i="12" a="1"/>
  <c r="Q20" i="12" a="1"/>
  <c r="P25" i="12" a="1"/>
  <c r="O13" i="12" a="1"/>
  <c r="O26" i="12" a="1"/>
  <c r="P22" i="12" a="1"/>
  <c r="Q40" i="12" a="1"/>
  <c r="M5" i="10" a="1"/>
  <c r="L7" i="10" a="1"/>
  <c r="Q17" i="12" a="1"/>
  <c r="O15" i="12" a="1"/>
  <c r="L7" i="19" a="1"/>
  <c r="Q31" i="12" a="1"/>
  <c r="Q16" i="12" a="1"/>
  <c r="Q10" i="12" a="1"/>
  <c r="M4" i="10" a="1"/>
  <c r="L3" i="10" a="1"/>
  <c r="Q11" i="12" a="1"/>
  <c r="O25" i="12" a="1"/>
  <c r="O29" i="12" a="1"/>
  <c r="P37" i="12" a="1"/>
  <c r="Q25" i="12" a="1"/>
  <c r="P3" i="12" a="1"/>
  <c r="P27" i="12" a="1"/>
  <c r="P11" i="12" a="1"/>
  <c r="P6" i="12" a="1"/>
  <c r="L10" i="19" a="1"/>
  <c r="O33" i="12" a="1"/>
  <c r="O37" i="12" a="1"/>
  <c r="M8" i="10" a="1"/>
  <c r="P32" i="12" a="1"/>
  <c r="L4" i="20" a="1"/>
  <c r="O5" i="12" a="1"/>
  <c r="O24" i="12" a="1"/>
  <c r="P10" i="12" a="1"/>
  <c r="O35" i="12" a="1"/>
  <c r="P15" i="12" a="1"/>
  <c r="P39" i="12" a="1"/>
  <c r="P7" i="12" a="1"/>
  <c r="P5" i="12" a="1"/>
  <c r="P20" i="12" a="1"/>
  <c r="P30" i="12" a="1"/>
  <c r="Q5" i="12" a="1"/>
  <c r="P31" i="12" a="1"/>
  <c r="Q30" i="12" a="1"/>
  <c r="M6" i="10" a="1"/>
  <c r="L8" i="10" a="1"/>
  <c r="P40" i="12" a="1"/>
  <c r="P28" i="12" a="1"/>
  <c r="P13" i="12" a="1"/>
  <c r="Q6" i="12" a="1"/>
  <c r="Q13" i="12" a="1"/>
  <c r="Q34" i="12" a="1"/>
  <c r="O19" i="12" a="1"/>
  <c r="Q18" i="12" a="1"/>
  <c r="Q3" i="12" a="1"/>
  <c r="O23" i="12" a="1"/>
  <c r="Q23" i="12" a="1"/>
  <c r="Q12" i="12" a="1"/>
  <c r="Q7" i="12" a="1"/>
  <c r="O9" i="12" a="1"/>
  <c r="L5" i="19" a="1"/>
  <c r="P8" i="12" a="1"/>
  <c r="L6" i="19" a="1"/>
  <c r="Q26" i="12" a="1"/>
  <c r="Q19" i="12" a="1"/>
  <c r="O21" i="12" a="1"/>
  <c r="Q9" i="12" a="1"/>
  <c r="L3" i="19" l="1"/>
  <c r="P30" i="12"/>
  <c r="O30" i="12"/>
  <c r="P24" i="12"/>
  <c r="O24" i="12"/>
  <c r="L7" i="19"/>
  <c r="O11" i="12"/>
  <c r="P11" i="12"/>
  <c r="M3" i="10"/>
  <c r="L3" i="10"/>
  <c r="P14" i="12"/>
  <c r="O14" i="12"/>
  <c r="O29" i="12"/>
  <c r="P29" i="12"/>
  <c r="P16" i="12"/>
  <c r="O16" i="12"/>
  <c r="P10" i="12"/>
  <c r="O10" i="12"/>
  <c r="P4" i="12"/>
  <c r="O4" i="12"/>
  <c r="O33" i="12"/>
  <c r="P33" i="12"/>
  <c r="O9" i="12"/>
  <c r="P9" i="12"/>
  <c r="P35" i="12"/>
  <c r="O35" i="12"/>
  <c r="O40" i="12"/>
  <c r="P40" i="12"/>
  <c r="L6" i="19"/>
  <c r="P21" i="12"/>
  <c r="O21" i="12"/>
  <c r="O37" i="12"/>
  <c r="P37" i="12"/>
  <c r="O25" i="12"/>
  <c r="P25" i="12"/>
  <c r="P32" i="12"/>
  <c r="O32" i="12"/>
  <c r="P36" i="12"/>
  <c r="O36" i="12"/>
  <c r="M7" i="10"/>
  <c r="L7" i="10"/>
  <c r="O19" i="12"/>
  <c r="P19" i="12"/>
  <c r="L10" i="19"/>
  <c r="P26" i="12"/>
  <c r="O26" i="12"/>
  <c r="M6" i="10"/>
  <c r="L6" i="10"/>
  <c r="P5" i="12"/>
  <c r="O5" i="12"/>
  <c r="O7" i="12"/>
  <c r="P7" i="12"/>
  <c r="P17" i="12"/>
  <c r="O17" i="12"/>
  <c r="M5" i="10"/>
  <c r="L5" i="10"/>
  <c r="P27" i="12"/>
  <c r="O27" i="12"/>
  <c r="O28" i="12"/>
  <c r="P28" i="12"/>
  <c r="O38" i="12"/>
  <c r="P38" i="12"/>
  <c r="P20" i="12"/>
  <c r="O20" i="12"/>
  <c r="O39" i="12"/>
  <c r="P39" i="12"/>
  <c r="P3" i="12"/>
  <c r="O3" i="12"/>
  <c r="O23" i="12"/>
  <c r="P23" i="12"/>
  <c r="O31" i="12"/>
  <c r="P31" i="12"/>
  <c r="O18" i="12"/>
  <c r="P18" i="12"/>
  <c r="L4" i="10"/>
  <c r="M4" i="10"/>
  <c r="L9" i="19"/>
  <c r="O34" i="12"/>
  <c r="P34" i="12"/>
  <c r="P12" i="12"/>
  <c r="O12" i="12"/>
  <c r="P15" i="12"/>
  <c r="O15" i="12"/>
  <c r="O8" i="12"/>
  <c r="P8" i="12"/>
  <c r="L5" i="19"/>
  <c r="M8" i="10"/>
  <c r="L8" i="10"/>
  <c r="O6" i="12"/>
  <c r="P6" i="12"/>
  <c r="L4" i="19"/>
  <c r="P13" i="12"/>
  <c r="O13" i="12"/>
  <c r="L8" i="19"/>
  <c r="O22" i="12"/>
  <c r="P22" i="12"/>
  <c r="L3" i="20"/>
  <c r="L4" i="20"/>
  <c r="Q7" i="12"/>
  <c r="Q23" i="12"/>
  <c r="Q13" i="12"/>
  <c r="Q17" i="12"/>
  <c r="Q40" i="12"/>
  <c r="Q5" i="12"/>
  <c r="Q18" i="12"/>
  <c r="Q36" i="12"/>
  <c r="Q10" i="12"/>
  <c r="Q34" i="12"/>
  <c r="Q20" i="12"/>
  <c r="Q27" i="12"/>
  <c r="Q39" i="12"/>
  <c r="Q28" i="12"/>
  <c r="Q24" i="12"/>
  <c r="Q30" i="12"/>
  <c r="Q3" i="12"/>
  <c r="Q26" i="12"/>
  <c r="Q21" i="12"/>
  <c r="Q15" i="12"/>
  <c r="Q38" i="12"/>
  <c r="Q31" i="12"/>
  <c r="Q12" i="12"/>
  <c r="Q37" i="12"/>
  <c r="Q16" i="12"/>
  <c r="Q22" i="12"/>
  <c r="Q8" i="12"/>
  <c r="Q29" i="12"/>
  <c r="Q9" i="12"/>
  <c r="Q11" i="12"/>
  <c r="Q4" i="12"/>
  <c r="Q19" i="12"/>
  <c r="Q14" i="12"/>
  <c r="Q35" i="12"/>
  <c r="Q25" i="12"/>
  <c r="Q6" i="12"/>
  <c r="Q33" i="12"/>
  <c r="Q32" i="12"/>
  <c r="E62" i="7"/>
  <c r="E61" i="7"/>
  <c r="E60" i="7"/>
  <c r="E59" i="7"/>
  <c r="E58" i="7"/>
  <c r="E57" i="7"/>
  <c r="E56" i="7"/>
  <c r="E55" i="7"/>
  <c r="E54" i="7"/>
  <c r="E53" i="7"/>
  <c r="E52" i="7"/>
  <c r="E51" i="7"/>
  <c r="H57" i="7"/>
  <c r="K57" i="7" s="1"/>
  <c r="H58" i="7"/>
  <c r="K58" i="7" s="1"/>
  <c r="H59" i="7"/>
  <c r="K59" i="7" s="1"/>
  <c r="H60" i="7"/>
  <c r="K60" i="7" s="1"/>
  <c r="H61" i="7"/>
  <c r="K61" i="7" s="1"/>
  <c r="H62" i="7"/>
  <c r="K62" i="7" s="1"/>
  <c r="H51" i="7"/>
  <c r="K51" i="7" s="1"/>
  <c r="H52" i="7"/>
  <c r="K52" i="7" s="1"/>
  <c r="H53" i="7"/>
  <c r="K53" i="7" s="1"/>
  <c r="H54" i="7"/>
  <c r="K54" i="7" s="1"/>
  <c r="H55" i="7"/>
  <c r="K55" i="7" s="1"/>
  <c r="H56" i="7"/>
  <c r="K56" i="7" s="1"/>
  <c r="E50" i="7"/>
  <c r="F50" i="7" s="1"/>
  <c r="E49" i="7"/>
  <c r="F49" i="7" s="1"/>
  <c r="E48" i="7"/>
  <c r="F48" i="7" s="1"/>
  <c r="E47" i="7"/>
  <c r="F47" i="7" s="1"/>
  <c r="E46" i="7"/>
  <c r="F46" i="7" s="1"/>
  <c r="E45" i="7"/>
  <c r="F45" i="7" s="1"/>
  <c r="E44" i="7"/>
  <c r="F44" i="7" s="1"/>
  <c r="E43" i="7"/>
  <c r="E42" i="7"/>
  <c r="F42" i="7" s="1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H41" i="7"/>
  <c r="K41" i="7" s="1"/>
  <c r="H42" i="7"/>
  <c r="K42" i="7" s="1"/>
  <c r="H43" i="7"/>
  <c r="K43" i="7" s="1"/>
  <c r="H44" i="7"/>
  <c r="K44" i="7" s="1"/>
  <c r="H45" i="7"/>
  <c r="K45" i="7" s="1"/>
  <c r="H46" i="7"/>
  <c r="K46" i="7" s="1"/>
  <c r="H47" i="7"/>
  <c r="K47" i="7" s="1"/>
  <c r="H48" i="7"/>
  <c r="K48" i="7" s="1"/>
  <c r="H49" i="7"/>
  <c r="K49" i="7" s="1"/>
  <c r="H50" i="7"/>
  <c r="K50" i="7" s="1"/>
  <c r="H26" i="7"/>
  <c r="K26" i="7" s="1"/>
  <c r="H27" i="7"/>
  <c r="K27" i="7" s="1"/>
  <c r="H28" i="7"/>
  <c r="K28" i="7" s="1"/>
  <c r="H29" i="7"/>
  <c r="K29" i="7" s="1"/>
  <c r="H30" i="7"/>
  <c r="K30" i="7" s="1"/>
  <c r="H31" i="7"/>
  <c r="K31" i="7" s="1"/>
  <c r="H32" i="7"/>
  <c r="K32" i="7" s="1"/>
  <c r="H33" i="7"/>
  <c r="K33" i="7" s="1"/>
  <c r="H34" i="7"/>
  <c r="K34" i="7" s="1"/>
  <c r="H35" i="7"/>
  <c r="K35" i="7" s="1"/>
  <c r="H36" i="7"/>
  <c r="K36" i="7" s="1"/>
  <c r="H37" i="7"/>
  <c r="K37" i="7" s="1"/>
  <c r="H38" i="7"/>
  <c r="K38" i="7" s="1"/>
  <c r="H39" i="7"/>
  <c r="K39" i="7" s="1"/>
  <c r="H40" i="7"/>
  <c r="K40" i="7" s="1"/>
  <c r="H7" i="7"/>
  <c r="K7" i="7" s="1"/>
  <c r="H8" i="7"/>
  <c r="K8" i="7" s="1"/>
  <c r="H9" i="7"/>
  <c r="K9" i="7" s="1"/>
  <c r="H10" i="7"/>
  <c r="K10" i="7" s="1"/>
  <c r="H11" i="7"/>
  <c r="K11" i="7" s="1"/>
  <c r="H12" i="7"/>
  <c r="K12" i="7" s="1"/>
  <c r="H13" i="7"/>
  <c r="K13" i="7" s="1"/>
  <c r="H14" i="7"/>
  <c r="K14" i="7" s="1"/>
  <c r="H15" i="7"/>
  <c r="K15" i="7" s="1"/>
  <c r="H16" i="7"/>
  <c r="K16" i="7" s="1"/>
  <c r="H17" i="7"/>
  <c r="K17" i="7" s="1"/>
  <c r="H18" i="7"/>
  <c r="K18" i="7" s="1"/>
  <c r="H19" i="7"/>
  <c r="K19" i="7" s="1"/>
  <c r="H20" i="7"/>
  <c r="K20" i="7" s="1"/>
  <c r="H21" i="7"/>
  <c r="K21" i="7" s="1"/>
  <c r="H22" i="7"/>
  <c r="K22" i="7" s="1"/>
  <c r="H23" i="7"/>
  <c r="K23" i="7" s="1"/>
  <c r="H24" i="7"/>
  <c r="K24" i="7" s="1"/>
  <c r="H25" i="7"/>
  <c r="K25" i="7" s="1"/>
  <c r="H11" i="8"/>
  <c r="K11" i="8" s="1"/>
  <c r="H10" i="8"/>
  <c r="K10" i="8" s="1"/>
  <c r="H9" i="8"/>
  <c r="K9" i="8" s="1"/>
  <c r="H8" i="8"/>
  <c r="K8" i="8" s="1"/>
  <c r="H7" i="8"/>
  <c r="K7" i="8" s="1"/>
  <c r="H6" i="8"/>
  <c r="K6" i="8" s="1"/>
  <c r="H5" i="8"/>
  <c r="K5" i="8" s="1"/>
  <c r="H4" i="8"/>
  <c r="K4" i="8" s="1"/>
  <c r="H3" i="8"/>
  <c r="K3" i="8" s="1"/>
  <c r="H2" i="8"/>
  <c r="K2" i="8" s="1"/>
  <c r="E11" i="8"/>
  <c r="E10" i="8"/>
  <c r="E9" i="8"/>
  <c r="E8" i="8"/>
  <c r="E7" i="8"/>
  <c r="E6" i="8"/>
  <c r="E5" i="8"/>
  <c r="E4" i="8"/>
  <c r="E3" i="8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E11" i="6"/>
  <c r="E12" i="6"/>
  <c r="E13" i="6"/>
  <c r="E14" i="6"/>
  <c r="E15" i="6"/>
  <c r="E16" i="6"/>
  <c r="E17" i="6"/>
  <c r="E18" i="6"/>
  <c r="E19" i="6"/>
  <c r="E20" i="6"/>
  <c r="H11" i="6"/>
  <c r="K11" i="6" s="1"/>
  <c r="H12" i="6"/>
  <c r="K12" i="6" s="1"/>
  <c r="H13" i="6"/>
  <c r="K13" i="6" s="1"/>
  <c r="H14" i="6"/>
  <c r="K14" i="6" s="1"/>
  <c r="H15" i="6"/>
  <c r="K15" i="6" s="1"/>
  <c r="H16" i="6"/>
  <c r="K16" i="6" s="1"/>
  <c r="H17" i="6"/>
  <c r="K17" i="6" s="1"/>
  <c r="H18" i="6"/>
  <c r="K18" i="6" s="1"/>
  <c r="H19" i="6"/>
  <c r="K19" i="6" s="1"/>
  <c r="H20" i="6"/>
  <c r="K20" i="6" s="1"/>
  <c r="E10" i="6"/>
  <c r="H10" i="6"/>
  <c r="K10" i="6" s="1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H26" i="5"/>
  <c r="K26" i="5" s="1"/>
  <c r="H27" i="5"/>
  <c r="K27" i="5" s="1"/>
  <c r="H28" i="5"/>
  <c r="K28" i="5" s="1"/>
  <c r="H29" i="5"/>
  <c r="K29" i="5" s="1"/>
  <c r="H30" i="5"/>
  <c r="K30" i="5" s="1"/>
  <c r="H31" i="5"/>
  <c r="K31" i="5" s="1"/>
  <c r="H32" i="5"/>
  <c r="K32" i="5" s="1"/>
  <c r="H33" i="5"/>
  <c r="K33" i="5" s="1"/>
  <c r="H34" i="5"/>
  <c r="K34" i="5" s="1"/>
  <c r="H35" i="5"/>
  <c r="K35" i="5" s="1"/>
  <c r="H36" i="5"/>
  <c r="K36" i="5" s="1"/>
  <c r="H37" i="5"/>
  <c r="K37" i="5" s="1"/>
  <c r="H38" i="5"/>
  <c r="K38" i="5" s="1"/>
  <c r="H39" i="5"/>
  <c r="K39" i="5" s="1"/>
  <c r="H40" i="5"/>
  <c r="K40" i="5" s="1"/>
  <c r="H41" i="5"/>
  <c r="K41" i="5" s="1"/>
  <c r="H42" i="5"/>
  <c r="K42" i="5" s="1"/>
  <c r="H43" i="5"/>
  <c r="K43" i="5" s="1"/>
  <c r="H44" i="5"/>
  <c r="K44" i="5" s="1"/>
  <c r="H45" i="5"/>
  <c r="K45" i="5" s="1"/>
  <c r="H46" i="5"/>
  <c r="K46" i="5" s="1"/>
  <c r="H47" i="5"/>
  <c r="K47" i="5" s="1"/>
  <c r="H48" i="5"/>
  <c r="K48" i="5" s="1"/>
  <c r="H49" i="5"/>
  <c r="K49" i="5" s="1"/>
  <c r="H50" i="5"/>
  <c r="K50" i="5" s="1"/>
  <c r="H51" i="5"/>
  <c r="K51" i="5" s="1"/>
  <c r="H52" i="5"/>
  <c r="K52" i="5" s="1"/>
  <c r="H53" i="5"/>
  <c r="K53" i="5" s="1"/>
  <c r="E14" i="5"/>
  <c r="E15" i="5"/>
  <c r="E16" i="5"/>
  <c r="E17" i="5"/>
  <c r="E18" i="5"/>
  <c r="E19" i="5"/>
  <c r="E20" i="5"/>
  <c r="E21" i="5"/>
  <c r="E22" i="5"/>
  <c r="E23" i="5"/>
  <c r="E24" i="5"/>
  <c r="E25" i="5"/>
  <c r="H14" i="5"/>
  <c r="K14" i="5" s="1"/>
  <c r="H15" i="5"/>
  <c r="K15" i="5" s="1"/>
  <c r="H16" i="5"/>
  <c r="K16" i="5" s="1"/>
  <c r="H17" i="5"/>
  <c r="K17" i="5" s="1"/>
  <c r="H18" i="5"/>
  <c r="K18" i="5" s="1"/>
  <c r="H19" i="5"/>
  <c r="K19" i="5" s="1"/>
  <c r="H20" i="5"/>
  <c r="K20" i="5" s="1"/>
  <c r="H21" i="5"/>
  <c r="K21" i="5" s="1"/>
  <c r="H22" i="5"/>
  <c r="K22" i="5" s="1"/>
  <c r="H23" i="5"/>
  <c r="K23" i="5" s="1"/>
  <c r="H24" i="5"/>
  <c r="K24" i="5" s="1"/>
  <c r="H25" i="5"/>
  <c r="K25" i="5" s="1"/>
  <c r="N48" i="7" a="1"/>
  <c r="L54" i="7" a="1"/>
  <c r="M45" i="7" a="1"/>
  <c r="L55" i="7" a="1"/>
  <c r="D35" i="7" a="1"/>
  <c r="L44" i="7" a="1"/>
  <c r="N50" i="7" a="1"/>
  <c r="D34" i="7" a="1"/>
  <c r="D13" i="6" a="1"/>
  <c r="D20" i="6" a="1"/>
  <c r="L45" i="7" a="1"/>
  <c r="D12" i="7" a="1"/>
  <c r="D21" i="7" a="1"/>
  <c r="D4" i="8" a="1"/>
  <c r="M60" i="7" a="1"/>
  <c r="N47" i="7" a="1"/>
  <c r="M62" i="7" a="1"/>
  <c r="N46" i="7" a="1"/>
  <c r="D5" i="8" a="1"/>
  <c r="D16" i="7" a="1"/>
  <c r="D14" i="6" a="1"/>
  <c r="L47" i="7" a="1"/>
  <c r="N49" i="7" a="1"/>
  <c r="D11" i="8" a="1"/>
  <c r="D15" i="7" a="1"/>
  <c r="D27" i="7" a="1"/>
  <c r="M51" i="7" a="1"/>
  <c r="D31" i="7" a="1"/>
  <c r="D20" i="7" a="1"/>
  <c r="D7" i="8" a="1"/>
  <c r="D28" i="7" a="1"/>
  <c r="L57" i="7" a="1"/>
  <c r="M59" i="7" a="1"/>
  <c r="D36" i="7" a="1"/>
  <c r="D41" i="7" a="1"/>
  <c r="L52" i="7" a="1"/>
  <c r="M46" i="7" a="1"/>
  <c r="D11" i="6" a="1"/>
  <c r="L46" i="7" a="1"/>
  <c r="N45" i="7" a="1"/>
  <c r="L59" i="7" a="1"/>
  <c r="M56" i="7" a="1"/>
  <c r="D13" i="7" a="1"/>
  <c r="D17" i="7" a="1"/>
  <c r="M55" i="7" a="1"/>
  <c r="M48" i="7" a="1"/>
  <c r="N42" i="7" a="1"/>
  <c r="D22" i="7" a="1"/>
  <c r="M44" i="7" a="1"/>
  <c r="L62" i="7" a="1"/>
  <c r="M61" i="7" a="1"/>
  <c r="L60" i="7" a="1"/>
  <c r="D15" i="6" a="1"/>
  <c r="L48" i="7" a="1"/>
  <c r="M57" i="7" a="1"/>
  <c r="D39" i="7" a="1"/>
  <c r="D19" i="6" a="1"/>
  <c r="D40" i="7" a="1"/>
  <c r="D9" i="7" a="1"/>
  <c r="M53" i="7" a="1"/>
  <c r="L49" i="7" a="1"/>
  <c r="M50" i="7" a="1"/>
  <c r="D32" i="7" a="1"/>
  <c r="L58" i="7" a="1"/>
  <c r="M52" i="7" a="1"/>
  <c r="D12" i="6" a="1"/>
  <c r="L42" i="7" a="1"/>
  <c r="D6" i="8" a="1"/>
  <c r="D38" i="7" a="1"/>
  <c r="D19" i="7" a="1"/>
  <c r="M47" i="7" a="1"/>
  <c r="D16" i="6" a="1"/>
  <c r="D18" i="6" a="1"/>
  <c r="M49" i="7" a="1"/>
  <c r="D18" i="7" a="1"/>
  <c r="D3" i="8" a="1"/>
  <c r="L53" i="7" a="1"/>
  <c r="M54" i="7" a="1"/>
  <c r="D14" i="7" a="1"/>
  <c r="M58" i="7" a="1"/>
  <c r="L50" i="7" a="1"/>
  <c r="D11" i="7" a="1"/>
  <c r="L61" i="7" a="1"/>
  <c r="D26" i="7" a="1"/>
  <c r="D33" i="7" a="1"/>
  <c r="D37" i="7" a="1"/>
  <c r="D9" i="8" a="1"/>
  <c r="M42" i="7" a="1"/>
  <c r="D43" i="7" a="1"/>
  <c r="D23" i="7" a="1"/>
  <c r="D8" i="8" a="1"/>
  <c r="D24" i="7" a="1"/>
  <c r="D7" i="7" a="1"/>
  <c r="L51" i="7" a="1"/>
  <c r="D17" i="6" a="1"/>
  <c r="D10" i="7" a="1"/>
  <c r="D29" i="7" a="1"/>
  <c r="N44" i="7" a="1"/>
  <c r="D10" i="8" a="1"/>
  <c r="L56" i="7" a="1"/>
  <c r="D30" i="7" a="1"/>
  <c r="D8" i="7" a="1"/>
  <c r="D10" i="6" a="1"/>
  <c r="D25" i="7" a="1"/>
  <c r="D49" i="5" a="1"/>
  <c r="D40" i="5" a="1"/>
  <c r="D30" i="5" a="1"/>
  <c r="D35" i="5" a="1"/>
  <c r="D25" i="5" a="1"/>
  <c r="D15" i="5" a="1"/>
  <c r="D37" i="5" a="1"/>
  <c r="D43" i="5" a="1"/>
  <c r="D17" i="5" a="1"/>
  <c r="D18" i="5" a="1"/>
  <c r="D45" i="5" a="1"/>
  <c r="D52" i="5" a="1"/>
  <c r="D47" i="5" a="1"/>
  <c r="D41" i="5" a="1"/>
  <c r="D29" i="5" a="1"/>
  <c r="D36" i="5" a="1"/>
  <c r="D34" i="5" a="1"/>
  <c r="D53" i="5" a="1"/>
  <c r="D16" i="5" a="1"/>
  <c r="D50" i="5" a="1"/>
  <c r="D26" i="5" a="1"/>
  <c r="D38" i="5" a="1"/>
  <c r="D39" i="5" a="1"/>
  <c r="D31" i="5" a="1"/>
  <c r="D28" i="5" a="1"/>
  <c r="D27" i="5" a="1"/>
  <c r="D46" i="5" a="1"/>
  <c r="D24" i="5" a="1"/>
  <c r="D44" i="5" a="1"/>
  <c r="D32" i="5" a="1"/>
  <c r="D42" i="5" a="1"/>
  <c r="D19" i="5" a="1"/>
  <c r="D33" i="5" a="1"/>
  <c r="D14" i="5" a="1"/>
  <c r="D23" i="5" a="1"/>
  <c r="D51" i="5" a="1"/>
  <c r="D22" i="5" a="1"/>
  <c r="D21" i="5" a="1"/>
  <c r="D48" i="5" a="1"/>
  <c r="D20" i="5" a="1"/>
  <c r="D38" i="5" l="1"/>
  <c r="D20" i="6"/>
  <c r="D3" i="8"/>
  <c r="D4" i="8"/>
  <c r="D14" i="5"/>
  <c r="D46" i="5"/>
  <c r="D34" i="5"/>
  <c r="D17" i="6"/>
  <c r="D6" i="8"/>
  <c r="D7" i="7"/>
  <c r="D19" i="7"/>
  <c r="D31" i="7"/>
  <c r="D43" i="7"/>
  <c r="M55" i="7"/>
  <c r="L55" i="7"/>
  <c r="D26" i="5"/>
  <c r="D37" i="5"/>
  <c r="D48" i="5"/>
  <c r="D41" i="7"/>
  <c r="D47" i="5"/>
  <c r="D25" i="5"/>
  <c r="D45" i="5"/>
  <c r="D33" i="5"/>
  <c r="D16" i="6"/>
  <c r="D7" i="8"/>
  <c r="D8" i="7"/>
  <c r="D20" i="7"/>
  <c r="D32" i="7"/>
  <c r="M56" i="7"/>
  <c r="L56" i="7"/>
  <c r="D49" i="5"/>
  <c r="D10" i="6"/>
  <c r="D17" i="7"/>
  <c r="D24" i="5"/>
  <c r="D44" i="5"/>
  <c r="D32" i="5"/>
  <c r="D15" i="6"/>
  <c r="D8" i="8"/>
  <c r="D9" i="7"/>
  <c r="D21" i="7"/>
  <c r="D33" i="7"/>
  <c r="M57" i="7"/>
  <c r="L57" i="7"/>
  <c r="D50" i="5"/>
  <c r="D16" i="5"/>
  <c r="D36" i="5"/>
  <c r="D29" i="7"/>
  <c r="D15" i="5"/>
  <c r="D35" i="5"/>
  <c r="D23" i="5"/>
  <c r="D43" i="5"/>
  <c r="D31" i="5"/>
  <c r="D14" i="6"/>
  <c r="D9" i="8"/>
  <c r="D10" i="7"/>
  <c r="D22" i="7"/>
  <c r="D34" i="7"/>
  <c r="L58" i="7"/>
  <c r="M58" i="7"/>
  <c r="D22" i="5"/>
  <c r="D42" i="5"/>
  <c r="D10" i="8"/>
  <c r="D23" i="7"/>
  <c r="M59" i="7"/>
  <c r="L59" i="7"/>
  <c r="D30" i="5"/>
  <c r="D11" i="7"/>
  <c r="D35" i="7"/>
  <c r="D21" i="5"/>
  <c r="D53" i="5"/>
  <c r="D41" i="5"/>
  <c r="D29" i="5"/>
  <c r="D12" i="6"/>
  <c r="D11" i="8"/>
  <c r="D12" i="7"/>
  <c r="D24" i="7"/>
  <c r="D36" i="7"/>
  <c r="M60" i="7"/>
  <c r="L60" i="7"/>
  <c r="D18" i="5"/>
  <c r="D13" i="6"/>
  <c r="D40" i="5"/>
  <c r="D13" i="7"/>
  <c r="D25" i="7"/>
  <c r="D37" i="7"/>
  <c r="L61" i="7"/>
  <c r="M61" i="7"/>
  <c r="D20" i="5"/>
  <c r="D52" i="5"/>
  <c r="D28" i="5"/>
  <c r="D11" i="6"/>
  <c r="D19" i="5"/>
  <c r="D51" i="5"/>
  <c r="D39" i="5"/>
  <c r="D27" i="5"/>
  <c r="D14" i="7"/>
  <c r="D26" i="7"/>
  <c r="D38" i="7"/>
  <c r="L62" i="7"/>
  <c r="M62" i="7"/>
  <c r="D15" i="7"/>
  <c r="D27" i="7"/>
  <c r="D39" i="7"/>
  <c r="M51" i="7"/>
  <c r="L51" i="7"/>
  <c r="D16" i="7"/>
  <c r="D28" i="7"/>
  <c r="D40" i="7"/>
  <c r="M52" i="7"/>
  <c r="L52" i="7"/>
  <c r="L53" i="7"/>
  <c r="M53" i="7"/>
  <c r="D17" i="5"/>
  <c r="D19" i="6"/>
  <c r="D18" i="6"/>
  <c r="D5" i="8"/>
  <c r="D18" i="7"/>
  <c r="D30" i="7"/>
  <c r="L54" i="7"/>
  <c r="M54" i="7"/>
  <c r="F38" i="5"/>
  <c r="F20" i="6"/>
  <c r="F3" i="8"/>
  <c r="F14" i="5"/>
  <c r="F46" i="5"/>
  <c r="F34" i="5"/>
  <c r="F17" i="6"/>
  <c r="F6" i="8"/>
  <c r="F7" i="7"/>
  <c r="F19" i="7"/>
  <c r="F31" i="7"/>
  <c r="F43" i="7"/>
  <c r="F55" i="7"/>
  <c r="F26" i="5"/>
  <c r="F37" i="5"/>
  <c r="F48" i="5"/>
  <c r="F41" i="7"/>
  <c r="F47" i="5"/>
  <c r="F25" i="5"/>
  <c r="F45" i="5"/>
  <c r="F33" i="5"/>
  <c r="F16" i="6"/>
  <c r="F8" i="7"/>
  <c r="F20" i="7"/>
  <c r="F32" i="7"/>
  <c r="F56" i="7"/>
  <c r="F49" i="5"/>
  <c r="F10" i="6"/>
  <c r="F17" i="7"/>
  <c r="F24" i="5"/>
  <c r="F44" i="5"/>
  <c r="F32" i="5"/>
  <c r="F15" i="6"/>
  <c r="F8" i="8"/>
  <c r="F9" i="7"/>
  <c r="F21" i="7"/>
  <c r="F33" i="7"/>
  <c r="F57" i="7"/>
  <c r="F50" i="5"/>
  <c r="F16" i="5"/>
  <c r="F36" i="5"/>
  <c r="F29" i="7"/>
  <c r="F15" i="5"/>
  <c r="F35" i="5"/>
  <c r="F23" i="5"/>
  <c r="F43" i="5"/>
  <c r="F31" i="5"/>
  <c r="F14" i="6"/>
  <c r="F10" i="7"/>
  <c r="F22" i="7"/>
  <c r="F34" i="7"/>
  <c r="F58" i="7"/>
  <c r="F22" i="5"/>
  <c r="F42" i="5"/>
  <c r="F10" i="8"/>
  <c r="F23" i="7"/>
  <c r="F59" i="7"/>
  <c r="F30" i="5"/>
  <c r="F11" i="7"/>
  <c r="F35" i="7"/>
  <c r="F21" i="5"/>
  <c r="F53" i="5"/>
  <c r="F41" i="5"/>
  <c r="F29" i="5"/>
  <c r="F12" i="6"/>
  <c r="F11" i="8"/>
  <c r="F12" i="7"/>
  <c r="F24" i="7"/>
  <c r="F36" i="7"/>
  <c r="F60" i="7"/>
  <c r="F18" i="5"/>
  <c r="F13" i="6"/>
  <c r="F40" i="5"/>
  <c r="F13" i="7"/>
  <c r="F25" i="7"/>
  <c r="F37" i="7"/>
  <c r="F61" i="7"/>
  <c r="F20" i="5"/>
  <c r="F52" i="5"/>
  <c r="F28" i="5"/>
  <c r="F11" i="6"/>
  <c r="F19" i="5"/>
  <c r="F51" i="5"/>
  <c r="F39" i="5"/>
  <c r="F27" i="5"/>
  <c r="F14" i="7"/>
  <c r="F26" i="7"/>
  <c r="F38" i="7"/>
  <c r="F62" i="7"/>
  <c r="F15" i="7"/>
  <c r="F27" i="7"/>
  <c r="F39" i="7"/>
  <c r="F51" i="7"/>
  <c r="F16" i="7"/>
  <c r="F28" i="7"/>
  <c r="F40" i="7"/>
  <c r="F52" i="7"/>
  <c r="F53" i="7"/>
  <c r="F17" i="5"/>
  <c r="F19" i="6"/>
  <c r="F18" i="6"/>
  <c r="F5" i="8"/>
  <c r="F18" i="7"/>
  <c r="F30" i="7"/>
  <c r="F54" i="7"/>
  <c r="N46" i="7"/>
  <c r="N42" i="7"/>
  <c r="N44" i="7"/>
  <c r="N45" i="7"/>
  <c r="N47" i="7"/>
  <c r="N48" i="7"/>
  <c r="N49" i="7"/>
  <c r="N50" i="7"/>
  <c r="F9" i="8"/>
  <c r="F4" i="8"/>
  <c r="F7" i="8"/>
  <c r="M45" i="7"/>
  <c r="L49" i="7"/>
  <c r="M50" i="7"/>
  <c r="M44" i="7"/>
  <c r="L48" i="7"/>
  <c r="L42" i="7"/>
  <c r="M49" i="7"/>
  <c r="L47" i="7"/>
  <c r="M48" i="7"/>
  <c r="M42" i="7"/>
  <c r="L46" i="7"/>
  <c r="M47" i="7"/>
  <c r="L45" i="7"/>
  <c r="M46" i="7"/>
  <c r="L50" i="7"/>
  <c r="L44" i="7"/>
  <c r="N54" i="7" a="1"/>
  <c r="M9" i="7" a="1"/>
  <c r="L20" i="6" a="1"/>
  <c r="L20" i="7" a="1"/>
  <c r="N61" i="7" a="1"/>
  <c r="M32" i="7" a="1"/>
  <c r="L34" i="7" a="1"/>
  <c r="M34" i="7" a="1"/>
  <c r="N51" i="7" a="1"/>
  <c r="L33" i="7" a="1"/>
  <c r="N9" i="7" a="1"/>
  <c r="N15" i="6" a="1"/>
  <c r="N56" i="7" a="1"/>
  <c r="M36" i="7" a="1"/>
  <c r="M41" i="7" a="1"/>
  <c r="L17" i="7" a="1"/>
  <c r="M22" i="7" a="1"/>
  <c r="N53" i="7" a="1"/>
  <c r="N57" i="7" a="1"/>
  <c r="N18" i="7" a="1"/>
  <c r="N7" i="7" a="1"/>
  <c r="N21" i="7" a="1"/>
  <c r="N20" i="7" a="1"/>
  <c r="M11" i="8" a="1"/>
  <c r="N14" i="6" a="1"/>
  <c r="M8" i="8" a="1"/>
  <c r="L21" i="7" a="1"/>
  <c r="M13" i="7" a="1"/>
  <c r="M10" i="7" a="1"/>
  <c r="L39" i="7" a="1"/>
  <c r="L14" i="7" a="1"/>
  <c r="L40" i="7" a="1"/>
  <c r="L10" i="8" a="1"/>
  <c r="L18" i="6" a="1"/>
  <c r="N24" i="7" a="1"/>
  <c r="M18" i="7" a="1"/>
  <c r="N13" i="7" a="1"/>
  <c r="L32" i="7" a="1"/>
  <c r="L31" i="7" a="1"/>
  <c r="L7" i="7" a="1"/>
  <c r="N33" i="7" a="1"/>
  <c r="L18" i="7" a="1"/>
  <c r="M24" i="7" a="1"/>
  <c r="M15" i="6" a="1"/>
  <c r="M13" i="6" a="1"/>
  <c r="N19" i="6" a="1"/>
  <c r="M23" i="7" a="1"/>
  <c r="M12" i="7" a="1"/>
  <c r="N26" i="7" a="1"/>
  <c r="M17" i="7" a="1"/>
  <c r="N55" i="7" a="1"/>
  <c r="N12" i="6" a="1"/>
  <c r="N20" i="6" a="1"/>
  <c r="L23" i="7" a="1"/>
  <c r="L29" i="7" a="1"/>
  <c r="L17" i="6" a="1"/>
  <c r="M31" i="7" a="1"/>
  <c r="M33" i="7" a="1"/>
  <c r="M20" i="6" a="1"/>
  <c r="L25" i="7" a="1"/>
  <c r="M15" i="7" a="1"/>
  <c r="N25" i="7" a="1"/>
  <c r="M10" i="8" a="1"/>
  <c r="L12" i="7" a="1"/>
  <c r="N34" i="7" a="1"/>
  <c r="L9" i="8" a="1"/>
  <c r="M29" i="7" a="1"/>
  <c r="M35" i="7" a="1"/>
  <c r="M6" i="8" a="1"/>
  <c r="M7" i="7" a="1"/>
  <c r="L7" i="8" a="1"/>
  <c r="M14" i="7" a="1"/>
  <c r="M3" i="8" a="1"/>
  <c r="N19" i="7" a="1"/>
  <c r="N23" i="7" a="1"/>
  <c r="M18" i="6" a="1"/>
  <c r="N36" i="7" a="1"/>
  <c r="L14" i="6" a="1"/>
  <c r="N12" i="7" a="1"/>
  <c r="N37" i="7" a="1"/>
  <c r="N41" i="7" a="1"/>
  <c r="M4" i="8" a="1"/>
  <c r="M39" i="7" a="1"/>
  <c r="L10" i="6" a="1"/>
  <c r="L35" i="7" a="1"/>
  <c r="M14" i="6" a="1"/>
  <c r="N14" i="7" a="1"/>
  <c r="M19" i="7" a="1"/>
  <c r="L10" i="7" a="1"/>
  <c r="N32" i="7" a="1"/>
  <c r="M28" i="7" a="1"/>
  <c r="M30" i="7" a="1"/>
  <c r="M7" i="8" a="1"/>
  <c r="L11" i="6" a="1"/>
  <c r="N62" i="7" a="1"/>
  <c r="L19" i="7" a="1"/>
  <c r="L24" i="7" a="1"/>
  <c r="L38" i="7" a="1"/>
  <c r="N17" i="6" a="1"/>
  <c r="M5" i="8" a="1"/>
  <c r="N58" i="7" a="1"/>
  <c r="M43" i="7" a="1"/>
  <c r="L28" i="7" a="1"/>
  <c r="N35" i="7" a="1"/>
  <c r="L16" i="7" a="1"/>
  <c r="L43" i="7" a="1"/>
  <c r="N31" i="7" a="1"/>
  <c r="N39" i="7" a="1"/>
  <c r="N28" i="7" a="1"/>
  <c r="L15" i="6" a="1"/>
  <c r="M27" i="7" a="1"/>
  <c r="L8" i="7" a="1"/>
  <c r="L11" i="7" a="1"/>
  <c r="L41" i="7" a="1"/>
  <c r="M20" i="7" a="1"/>
  <c r="N29" i="7" a="1"/>
  <c r="L26" i="7" a="1"/>
  <c r="N10" i="7" a="1"/>
  <c r="L8" i="8" a="1"/>
  <c r="L5" i="8" a="1"/>
  <c r="L12" i="6" a="1"/>
  <c r="L9" i="7" a="1"/>
  <c r="N38" i="7" a="1"/>
  <c r="N30" i="7" a="1"/>
  <c r="M8" i="7" a="1"/>
  <c r="L16" i="6" a="1"/>
  <c r="L22" i="7" a="1"/>
  <c r="L19" i="6" a="1"/>
  <c r="L37" i="7" a="1"/>
  <c r="N11" i="7" a="1"/>
  <c r="M11" i="6" a="1"/>
  <c r="L13" i="7" a="1"/>
  <c r="N16" i="7" a="1"/>
  <c r="M9" i="8" a="1"/>
  <c r="N40" i="7" a="1"/>
  <c r="N22" i="7" a="1"/>
  <c r="M17" i="6" a="1"/>
  <c r="M26" i="7" a="1"/>
  <c r="M38" i="7" a="1"/>
  <c r="M19" i="6" a="1"/>
  <c r="M16" i="6" a="1"/>
  <c r="L11" i="8" a="1"/>
  <c r="M37" i="7" a="1"/>
  <c r="L36" i="7" a="1"/>
  <c r="N16" i="6" a="1"/>
  <c r="N17" i="7" a="1"/>
  <c r="N13" i="6" a="1"/>
  <c r="N18" i="6" a="1"/>
  <c r="N15" i="7" a="1"/>
  <c r="L13" i="6" a="1"/>
  <c r="N43" i="7" a="1"/>
  <c r="N27" i="7" a="1"/>
  <c r="L4" i="8" a="1"/>
  <c r="M21" i="7" a="1"/>
  <c r="M11" i="7" a="1"/>
  <c r="M16" i="7" a="1"/>
  <c r="L15" i="7" a="1"/>
  <c r="N52" i="7" a="1"/>
  <c r="L3" i="8" a="1"/>
  <c r="M12" i="6" a="1"/>
  <c r="L27" i="7" a="1"/>
  <c r="N10" i="6" a="1"/>
  <c r="N8" i="7" a="1"/>
  <c r="M25" i="7" a="1"/>
  <c r="N11" i="6" a="1"/>
  <c r="M40" i="7" a="1"/>
  <c r="N60" i="7" a="1"/>
  <c r="M10" i="6" a="1"/>
  <c r="N59" i="7" a="1"/>
  <c r="L30" i="7" a="1"/>
  <c r="M35" i="5" a="1"/>
  <c r="M36" i="5" a="1"/>
  <c r="M28" i="5" a="1"/>
  <c r="M26" i="5" a="1"/>
  <c r="M27" i="5" a="1"/>
  <c r="M43" i="5" a="1"/>
  <c r="M29" i="5" a="1"/>
  <c r="M34" i="5" a="1"/>
  <c r="M25" i="5" a="1"/>
  <c r="M44" i="5" a="1"/>
  <c r="M40" i="5" a="1"/>
  <c r="M47" i="5" a="1"/>
  <c r="M18" i="5" a="1"/>
  <c r="M52" i="5" a="1"/>
  <c r="M33" i="5" a="1"/>
  <c r="M23" i="5" a="1"/>
  <c r="M49" i="5" a="1"/>
  <c r="M20" i="5" a="1"/>
  <c r="M48" i="5" a="1"/>
  <c r="M41" i="5" a="1"/>
  <c r="M51" i="5" a="1"/>
  <c r="M38" i="5" a="1"/>
  <c r="M37" i="5" a="1"/>
  <c r="M42" i="5" a="1"/>
  <c r="M19" i="5" a="1"/>
  <c r="M22" i="5" a="1"/>
  <c r="M53" i="5" a="1"/>
  <c r="M31" i="5" a="1"/>
  <c r="M30" i="5" a="1"/>
  <c r="M14" i="5" a="1"/>
  <c r="M24" i="5" a="1"/>
  <c r="M50" i="5" a="1"/>
  <c r="M32" i="5" a="1"/>
  <c r="M21" i="5" a="1"/>
  <c r="M46" i="5" a="1"/>
  <c r="M15" i="5" a="1"/>
  <c r="M39" i="5" a="1"/>
  <c r="M45" i="5" a="1"/>
  <c r="M16" i="5" a="1"/>
  <c r="M17" i="5" a="1"/>
  <c r="L3" i="8" l="1"/>
  <c r="M53" i="5"/>
  <c r="N20" i="6"/>
  <c r="L20" i="6"/>
  <c r="M20" i="6"/>
  <c r="M40" i="5"/>
  <c r="M38" i="5"/>
  <c r="M37" i="7"/>
  <c r="L37" i="7"/>
  <c r="N13" i="6"/>
  <c r="N21" i="7"/>
  <c r="N28" i="7"/>
  <c r="M51" i="5"/>
  <c r="M18" i="5"/>
  <c r="N11" i="7"/>
  <c r="M31" i="5"/>
  <c r="N9" i="7"/>
  <c r="N8" i="7"/>
  <c r="N31" i="7"/>
  <c r="L28" i="7"/>
  <c r="M28" i="7"/>
  <c r="M13" i="7"/>
  <c r="L13" i="7"/>
  <c r="L29" i="7"/>
  <c r="M29" i="7"/>
  <c r="L19" i="7"/>
  <c r="M19" i="7"/>
  <c r="N53" i="7"/>
  <c r="N22" i="7"/>
  <c r="M26" i="5"/>
  <c r="M38" i="7"/>
  <c r="L38" i="7"/>
  <c r="M11" i="8"/>
  <c r="L11" i="8"/>
  <c r="M8" i="8"/>
  <c r="L8" i="8"/>
  <c r="N52" i="7"/>
  <c r="N10" i="7"/>
  <c r="L15" i="6"/>
  <c r="M15" i="6"/>
  <c r="N40" i="7"/>
  <c r="N35" i="7"/>
  <c r="N43" i="7"/>
  <c r="L14" i="7"/>
  <c r="M14" i="7"/>
  <c r="M25" i="7"/>
  <c r="L25" i="7"/>
  <c r="L16" i="6"/>
  <c r="M16" i="6"/>
  <c r="N16" i="7"/>
  <c r="M19" i="5"/>
  <c r="N60" i="7"/>
  <c r="M30" i="5"/>
  <c r="M43" i="5"/>
  <c r="N16" i="6"/>
  <c r="N19" i="7"/>
  <c r="M30" i="7"/>
  <c r="L30" i="7"/>
  <c r="M16" i="7"/>
  <c r="L16" i="7"/>
  <c r="M7" i="7"/>
  <c r="L7" i="7"/>
  <c r="N14" i="7"/>
  <c r="N57" i="7"/>
  <c r="L10" i="8"/>
  <c r="M10" i="8"/>
  <c r="L8" i="7"/>
  <c r="M8" i="7"/>
  <c r="M27" i="5"/>
  <c r="N33" i="7"/>
  <c r="M7" i="8"/>
  <c r="L7" i="8"/>
  <c r="M39" i="5"/>
  <c r="N20" i="7"/>
  <c r="L31" i="7"/>
  <c r="M31" i="7"/>
  <c r="N54" i="7"/>
  <c r="N51" i="7"/>
  <c r="N11" i="6"/>
  <c r="N36" i="7"/>
  <c r="N59" i="7"/>
  <c r="M23" i="5"/>
  <c r="N15" i="6"/>
  <c r="M33" i="5"/>
  <c r="N7" i="7"/>
  <c r="L18" i="7"/>
  <c r="M18" i="7"/>
  <c r="M13" i="6"/>
  <c r="L13" i="6"/>
  <c r="L34" i="7"/>
  <c r="M34" i="7"/>
  <c r="M17" i="7"/>
  <c r="L17" i="7"/>
  <c r="M6" i="8"/>
  <c r="N13" i="7"/>
  <c r="N56" i="7"/>
  <c r="M21" i="5"/>
  <c r="N55" i="7"/>
  <c r="M26" i="7"/>
  <c r="L26" i="7"/>
  <c r="M12" i="6"/>
  <c r="L12" i="6"/>
  <c r="M43" i="7"/>
  <c r="L43" i="7"/>
  <c r="N14" i="6"/>
  <c r="M40" i="7"/>
  <c r="L40" i="7"/>
  <c r="N30" i="7"/>
  <c r="N39" i="7"/>
  <c r="M28" i="5"/>
  <c r="N24" i="7"/>
  <c r="N23" i="7"/>
  <c r="M35" i="5"/>
  <c r="M32" i="5"/>
  <c r="M45" i="5"/>
  <c r="L5" i="8"/>
  <c r="M5" i="8"/>
  <c r="L35" i="7"/>
  <c r="M35" i="7"/>
  <c r="L22" i="7"/>
  <c r="M22" i="7"/>
  <c r="L10" i="6"/>
  <c r="M10" i="6"/>
  <c r="M17" i="6"/>
  <c r="L17" i="6"/>
  <c r="N27" i="7"/>
  <c r="N12" i="7"/>
  <c r="M15" i="5"/>
  <c r="M25" i="5"/>
  <c r="L39" i="7"/>
  <c r="M39" i="7"/>
  <c r="M11" i="7"/>
  <c r="L11" i="7"/>
  <c r="N15" i="7"/>
  <c r="N29" i="7"/>
  <c r="M24" i="5"/>
  <c r="M47" i="5"/>
  <c r="M34" i="5"/>
  <c r="L19" i="6"/>
  <c r="M19" i="6"/>
  <c r="L27" i="7"/>
  <c r="M27" i="7"/>
  <c r="M9" i="8"/>
  <c r="L9" i="8"/>
  <c r="N18" i="6"/>
  <c r="N62" i="7"/>
  <c r="N61" i="7"/>
  <c r="N12" i="6"/>
  <c r="M22" i="5"/>
  <c r="M36" i="5"/>
  <c r="N17" i="7"/>
  <c r="N41" i="7"/>
  <c r="M46" i="5"/>
  <c r="M15" i="7"/>
  <c r="L15" i="7"/>
  <c r="L36" i="7"/>
  <c r="M36" i="7"/>
  <c r="L14" i="6"/>
  <c r="M14" i="6"/>
  <c r="L33" i="7"/>
  <c r="M33" i="7"/>
  <c r="N18" i="7"/>
  <c r="M52" i="5"/>
  <c r="M44" i="5"/>
  <c r="N17" i="6"/>
  <c r="L18" i="6"/>
  <c r="M18" i="6"/>
  <c r="L11" i="6"/>
  <c r="M11" i="6"/>
  <c r="L10" i="7"/>
  <c r="M10" i="7"/>
  <c r="M41" i="7"/>
  <c r="L41" i="7"/>
  <c r="M20" i="5"/>
  <c r="M42" i="5"/>
  <c r="N19" i="6"/>
  <c r="N38" i="7"/>
  <c r="N37" i="7"/>
  <c r="M29" i="5"/>
  <c r="N58" i="7"/>
  <c r="M16" i="5"/>
  <c r="N10" i="6"/>
  <c r="M48" i="5"/>
  <c r="M14" i="5"/>
  <c r="M24" i="7"/>
  <c r="L24" i="7"/>
  <c r="M21" i="7"/>
  <c r="L21" i="7"/>
  <c r="M32" i="7"/>
  <c r="L32" i="7"/>
  <c r="L4" i="8"/>
  <c r="M4" i="8"/>
  <c r="M17" i="5"/>
  <c r="N26" i="7"/>
  <c r="N25" i="7"/>
  <c r="M41" i="5"/>
  <c r="N34" i="7"/>
  <c r="M50" i="5"/>
  <c r="M49" i="5"/>
  <c r="M37" i="5"/>
  <c r="M12" i="7"/>
  <c r="L12" i="7"/>
  <c r="L23" i="7"/>
  <c r="M23" i="7"/>
  <c r="M9" i="7"/>
  <c r="L9" i="7"/>
  <c r="M20" i="7"/>
  <c r="L20" i="7"/>
  <c r="M3" i="8"/>
  <c r="N32" i="7"/>
  <c r="H5" i="6"/>
  <c r="K5" i="6" s="1"/>
  <c r="H6" i="6"/>
  <c r="K6" i="6" s="1"/>
  <c r="H7" i="6"/>
  <c r="K7" i="6" s="1"/>
  <c r="H8" i="6"/>
  <c r="K8" i="6" s="1"/>
  <c r="H9" i="6"/>
  <c r="K9" i="6" s="1"/>
  <c r="E2" i="10"/>
  <c r="E6" i="7"/>
  <c r="E5" i="7"/>
  <c r="H5" i="7"/>
  <c r="K5" i="7" s="1"/>
  <c r="H6" i="7"/>
  <c r="K6" i="7" s="1"/>
  <c r="E4" i="7"/>
  <c r="E3" i="7"/>
  <c r="H3" i="7"/>
  <c r="K3" i="7" s="1"/>
  <c r="H4" i="7"/>
  <c r="K4" i="7" s="1"/>
  <c r="H13" i="5"/>
  <c r="K13" i="5" s="1"/>
  <c r="E3" i="6"/>
  <c r="E2" i="6"/>
  <c r="E4" i="6"/>
  <c r="H4" i="6"/>
  <c r="K4" i="6" s="1"/>
  <c r="E12" i="5"/>
  <c r="E11" i="5"/>
  <c r="E10" i="5"/>
  <c r="E9" i="5"/>
  <c r="E8" i="5"/>
  <c r="E7" i="5"/>
  <c r="E6" i="5"/>
  <c r="E5" i="5"/>
  <c r="E4" i="5"/>
  <c r="E3" i="5"/>
  <c r="H8" i="5"/>
  <c r="K8" i="5" s="1"/>
  <c r="H9" i="5"/>
  <c r="K9" i="5" s="1"/>
  <c r="H10" i="5"/>
  <c r="K10" i="5" s="1"/>
  <c r="H11" i="5"/>
  <c r="K11" i="5" s="1"/>
  <c r="H12" i="5"/>
  <c r="K12" i="5" s="1"/>
  <c r="H5" i="5"/>
  <c r="K5" i="5" s="1"/>
  <c r="H6" i="5"/>
  <c r="K6" i="5" s="1"/>
  <c r="H7" i="5"/>
  <c r="K7" i="5" s="1"/>
  <c r="H4" i="5"/>
  <c r="K4" i="5" s="1"/>
  <c r="D5" i="7" a="1"/>
  <c r="D3" i="6" a="1"/>
  <c r="D3" i="7" a="1"/>
  <c r="D2" i="10" a="1"/>
  <c r="D4" i="7" a="1"/>
  <c r="D2" i="6" a="1"/>
  <c r="D4" i="6" a="1"/>
  <c r="D6" i="7" a="1"/>
  <c r="D8" i="5" a="1"/>
  <c r="D12" i="5" a="1"/>
  <c r="D3" i="5" a="1"/>
  <c r="D5" i="5" a="1"/>
  <c r="D6" i="5" a="1"/>
  <c r="D4" i="5" a="1"/>
  <c r="D11" i="5" a="1"/>
  <c r="D7" i="5" a="1"/>
  <c r="D9" i="5" a="1"/>
  <c r="D10" i="5" a="1"/>
  <c r="D9" i="5" l="1"/>
  <c r="D11" i="5"/>
  <c r="D12" i="5"/>
  <c r="D6" i="7"/>
  <c r="D5" i="7"/>
  <c r="D2" i="10"/>
  <c r="D7" i="5"/>
  <c r="D4" i="6"/>
  <c r="D3" i="5"/>
  <c r="D2" i="6"/>
  <c r="D4" i="5"/>
  <c r="D3" i="6"/>
  <c r="D5" i="5"/>
  <c r="D6" i="5"/>
  <c r="D8" i="5"/>
  <c r="D3" i="7"/>
  <c r="D4" i="7"/>
  <c r="D10" i="5"/>
  <c r="F12" i="5"/>
  <c r="F4" i="5"/>
  <c r="F5" i="5"/>
  <c r="F6" i="5"/>
  <c r="F7" i="5"/>
  <c r="F8" i="5"/>
  <c r="F9" i="5"/>
  <c r="F11" i="5"/>
  <c r="F10" i="5"/>
  <c r="F5" i="7"/>
  <c r="F3" i="7"/>
  <c r="F6" i="7"/>
  <c r="F4" i="7"/>
  <c r="F4" i="6"/>
  <c r="B14" i="38"/>
  <c r="B13" i="38"/>
  <c r="B12" i="38"/>
  <c r="B11" i="38"/>
  <c r="B10" i="38"/>
  <c r="B9" i="38"/>
  <c r="B8" i="38"/>
  <c r="B7" i="38"/>
  <c r="B6" i="38"/>
  <c r="B5" i="38"/>
  <c r="B4" i="38"/>
  <c r="B3" i="38"/>
  <c r="B2" i="38"/>
  <c r="N6" i="7" a="1"/>
  <c r="L6" i="7" a="1"/>
  <c r="L5" i="7" a="1"/>
  <c r="M4" i="7" a="1"/>
  <c r="L2" i="6" a="1"/>
  <c r="M6" i="7" a="1"/>
  <c r="M3" i="7" a="1"/>
  <c r="N5" i="7" a="1"/>
  <c r="N4" i="7" a="1"/>
  <c r="L4" i="7" a="1"/>
  <c r="L3" i="7" a="1"/>
  <c r="N3" i="7" a="1"/>
  <c r="N4" i="6" a="1"/>
  <c r="M2" i="6" a="1"/>
  <c r="L2" i="10" a="1"/>
  <c r="L4" i="6" a="1"/>
  <c r="L3" i="6" a="1"/>
  <c r="M3" i="6" a="1"/>
  <c r="M5" i="7" a="1"/>
  <c r="M2" i="10" a="1"/>
  <c r="M4" i="6" a="1"/>
  <c r="M9" i="5" a="1"/>
  <c r="M5" i="5" a="1"/>
  <c r="M6" i="5" a="1"/>
  <c r="M4" i="5" a="1"/>
  <c r="M12" i="5" a="1"/>
  <c r="M8" i="5" a="1"/>
  <c r="M11" i="5" a="1"/>
  <c r="M10" i="5" a="1"/>
  <c r="M7" i="5" a="1"/>
  <c r="M3" i="6" l="1"/>
  <c r="L3" i="6"/>
  <c r="L2" i="6"/>
  <c r="M2" i="6"/>
  <c r="M4" i="6"/>
  <c r="L4" i="6"/>
  <c r="M2" i="10"/>
  <c r="L2" i="10"/>
  <c r="M4" i="7"/>
  <c r="L4" i="7"/>
  <c r="M5" i="7"/>
  <c r="L5" i="7"/>
  <c r="M3" i="7"/>
  <c r="L3" i="7"/>
  <c r="M6" i="7"/>
  <c r="L6" i="7"/>
  <c r="N3" i="7"/>
  <c r="N4" i="7"/>
  <c r="N6" i="7"/>
  <c r="N5" i="7"/>
  <c r="M6" i="5"/>
  <c r="M5" i="5"/>
  <c r="M4" i="5"/>
  <c r="M12" i="5"/>
  <c r="M7" i="5"/>
  <c r="M11" i="5"/>
  <c r="M8" i="5"/>
  <c r="M10" i="5"/>
  <c r="M9" i="5"/>
  <c r="N4" i="6"/>
  <c r="L6" i="8" a="1"/>
  <c r="L6" i="8" l="1"/>
  <c r="C60" i="28"/>
  <c r="C59" i="28"/>
  <c r="C58" i="28"/>
  <c r="C57" i="28"/>
  <c r="C55" i="28"/>
  <c r="C54" i="28"/>
  <c r="C53" i="28"/>
  <c r="C52" i="28"/>
  <c r="C50" i="28"/>
  <c r="C49" i="28"/>
  <c r="C48" i="28"/>
  <c r="C47" i="28"/>
  <c r="C51" i="28"/>
  <c r="C56" i="28"/>
  <c r="C45" i="28"/>
  <c r="C44" i="28"/>
  <c r="C43" i="28"/>
  <c r="C42" i="28"/>
  <c r="C40" i="28"/>
  <c r="C39" i="28"/>
  <c r="C38" i="28"/>
  <c r="C37" i="28"/>
  <c r="C35" i="28"/>
  <c r="C34" i="28"/>
  <c r="C33" i="28"/>
  <c r="C32" i="28"/>
  <c r="C30" i="28"/>
  <c r="C29" i="28"/>
  <c r="C28" i="28"/>
  <c r="C27" i="28"/>
  <c r="C31" i="28"/>
  <c r="C36" i="28"/>
  <c r="C41" i="28"/>
  <c r="C46" i="28"/>
  <c r="C25" i="28"/>
  <c r="C24" i="28"/>
  <c r="C23" i="28"/>
  <c r="C22" i="28"/>
  <c r="C26" i="28"/>
  <c r="C21" i="28"/>
  <c r="C20" i="28"/>
  <c r="C19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4" i="28"/>
  <c r="C3" i="28"/>
  <c r="C2" i="28"/>
  <c r="H4" i="20" l="1"/>
  <c r="K4" i="20" s="1"/>
  <c r="F4" i="20"/>
  <c r="H3" i="20"/>
  <c r="K3" i="20" s="1"/>
  <c r="F3" i="20"/>
  <c r="H2" i="20"/>
  <c r="E2" i="20" s="1"/>
  <c r="H3" i="19"/>
  <c r="K3" i="19" s="1"/>
  <c r="H2" i="19"/>
  <c r="E2" i="19" s="1"/>
  <c r="D2" i="19" a="1"/>
  <c r="D2" i="20" a="1"/>
  <c r="D2" i="19" l="1"/>
  <c r="D2" i="20"/>
  <c r="F2" i="20"/>
  <c r="K2" i="19"/>
  <c r="K2" i="20"/>
  <c r="B2" i="20"/>
  <c r="F3" i="19"/>
  <c r="F2" i="19"/>
  <c r="B2" i="19"/>
  <c r="G4" i="17"/>
  <c r="J4" i="17" s="1"/>
  <c r="E4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E5" i="17"/>
  <c r="E6" i="17"/>
  <c r="E7" i="17"/>
  <c r="E8" i="17"/>
  <c r="E9" i="17"/>
  <c r="E10" i="17"/>
  <c r="E11" i="17"/>
  <c r="E12" i="17"/>
  <c r="E13" i="17"/>
  <c r="E14" i="17"/>
  <c r="E15" i="17"/>
  <c r="E16" i="17"/>
  <c r="G5" i="17"/>
  <c r="J5" i="17" s="1"/>
  <c r="G6" i="17"/>
  <c r="J6" i="17" s="1"/>
  <c r="G7" i="17"/>
  <c r="J7" i="17" s="1"/>
  <c r="G8" i="17"/>
  <c r="J8" i="17" s="1"/>
  <c r="G9" i="17"/>
  <c r="J9" i="17" s="1"/>
  <c r="G10" i="17"/>
  <c r="J10" i="17" s="1"/>
  <c r="G11" i="17"/>
  <c r="J11" i="17" s="1"/>
  <c r="G12" i="17"/>
  <c r="J12" i="17" s="1"/>
  <c r="G13" i="17"/>
  <c r="J13" i="17" s="1"/>
  <c r="G14" i="17"/>
  <c r="J14" i="17" s="1"/>
  <c r="G15" i="17"/>
  <c r="J15" i="17" s="1"/>
  <c r="G16" i="17"/>
  <c r="J16" i="17" s="1"/>
  <c r="G3" i="17"/>
  <c r="J3" i="17" s="1"/>
  <c r="E3" i="17"/>
  <c r="B3" i="17"/>
  <c r="G2" i="17"/>
  <c r="J2" i="17" s="1"/>
  <c r="G2" i="12"/>
  <c r="C2" i="12"/>
  <c r="L2" i="19" a="1"/>
  <c r="L2" i="20" a="1"/>
  <c r="K16" i="17" a="1"/>
  <c r="F2" i="12" a="1"/>
  <c r="E2" i="12" a="1"/>
  <c r="L2" i="19" l="1"/>
  <c r="E2" i="12"/>
  <c r="L2" i="20"/>
  <c r="F2" i="12"/>
  <c r="H2" i="12"/>
  <c r="K16" i="17"/>
  <c r="D2" i="17"/>
  <c r="E2" i="17" s="1"/>
  <c r="O2" i="12" a="1"/>
  <c r="Q2" i="12" a="1"/>
  <c r="K2" i="17" a="1"/>
  <c r="P2" i="12" a="1"/>
  <c r="P2" i="12" l="1"/>
  <c r="O2" i="12"/>
  <c r="Q2" i="12"/>
  <c r="B2" i="17"/>
  <c r="K2" i="17"/>
  <c r="F3" i="5"/>
  <c r="M3" i="5" a="1"/>
  <c r="M3" i="5" l="1"/>
  <c r="J2" i="12"/>
  <c r="N2" i="12" s="1"/>
  <c r="H2" i="10" l="1"/>
  <c r="K2" i="10" s="1"/>
  <c r="G2" i="9"/>
  <c r="J2" i="9" s="1"/>
  <c r="H2" i="7" l="1"/>
  <c r="K2" i="7" s="1"/>
  <c r="H3" i="6"/>
  <c r="H2" i="6"/>
  <c r="K2" i="6" l="1"/>
  <c r="K3" i="6"/>
  <c r="F3" i="6" l="1"/>
  <c r="F2" i="6"/>
  <c r="H3" i="5"/>
  <c r="K3" i="5" s="1"/>
  <c r="H2" i="5"/>
  <c r="K2" i="5" s="1"/>
  <c r="N2" i="6" a="1"/>
  <c r="N3" i="6" a="1"/>
  <c r="N2" i="6" l="1"/>
  <c r="N3" i="6"/>
  <c r="E2" i="5" l="1"/>
  <c r="D2" i="5" a="1"/>
  <c r="D2" i="5" l="1"/>
  <c r="F2" i="5"/>
  <c r="E13" i="5"/>
  <c r="D13" i="5" a="1"/>
  <c r="L2" i="5" a="1"/>
  <c r="M2" i="5" a="1"/>
  <c r="D13" i="5" l="1"/>
  <c r="L2" i="5"/>
  <c r="M2" i="5"/>
  <c r="F13" i="5"/>
  <c r="E2" i="7"/>
  <c r="D2" i="7" a="1"/>
  <c r="M13" i="5" a="1"/>
  <c r="D2" i="7" l="1"/>
  <c r="F2" i="7"/>
  <c r="M13" i="5"/>
  <c r="D2" i="9"/>
  <c r="L2" i="7" a="1"/>
  <c r="M2" i="7" a="1"/>
  <c r="K2" i="9" a="1"/>
  <c r="N2" i="7" a="1"/>
  <c r="L2" i="9" a="1"/>
  <c r="M2" i="7" l="1"/>
  <c r="L2" i="7"/>
  <c r="N2" i="7"/>
  <c r="L2" i="9"/>
  <c r="K2" i="9"/>
  <c r="E2" i="9"/>
  <c r="F2" i="10"/>
  <c r="M2" i="9" a="1"/>
  <c r="M2" i="9" l="1"/>
  <c r="E7" i="6"/>
  <c r="D7" i="6" a="1"/>
  <c r="D7" i="6" l="1"/>
  <c r="F7" i="6"/>
  <c r="E9" i="6"/>
  <c r="L7" i="6" a="1"/>
  <c r="M7" i="6" a="1"/>
  <c r="N7" i="6" a="1"/>
  <c r="D9" i="6" a="1"/>
  <c r="D9" i="6" l="1"/>
  <c r="L7" i="6"/>
  <c r="M7" i="6"/>
  <c r="N7" i="6"/>
  <c r="F9" i="6"/>
  <c r="E5" i="6"/>
  <c r="L9" i="6" a="1"/>
  <c r="M9" i="6" a="1"/>
  <c r="D5" i="6" a="1"/>
  <c r="N9" i="6" a="1"/>
  <c r="D5" i="6" l="1"/>
  <c r="M9" i="6"/>
  <c r="L9" i="6"/>
  <c r="N9" i="6"/>
  <c r="F5" i="6"/>
  <c r="E8" i="6"/>
  <c r="L5" i="6" a="1"/>
  <c r="N5" i="6" a="1"/>
  <c r="D8" i="6" a="1"/>
  <c r="M5" i="6" a="1"/>
  <c r="M5" i="6" l="1"/>
  <c r="L5" i="6"/>
  <c r="D8" i="6"/>
  <c r="N5" i="6"/>
  <c r="F8" i="6"/>
  <c r="E6" i="6"/>
  <c r="M8" i="6" a="1"/>
  <c r="D6" i="6" a="1"/>
  <c r="N8" i="6" a="1"/>
  <c r="L8" i="6" a="1"/>
  <c r="D6" i="6" l="1"/>
  <c r="M8" i="6"/>
  <c r="L8" i="6"/>
  <c r="N8" i="6"/>
  <c r="F6" i="6"/>
  <c r="N6" i="6" a="1"/>
  <c r="M6" i="6" a="1"/>
  <c r="L6" i="6" a="1"/>
  <c r="L6" i="6" l="1"/>
  <c r="M6" i="6"/>
  <c r="N6" i="6"/>
  <c r="F59" i="5" l="1"/>
  <c r="M59" i="5" a="1"/>
  <c r="M59" i="5" l="1"/>
  <c r="F54" i="5" l="1"/>
  <c r="M54" i="5" a="1"/>
  <c r="M54" i="5" l="1"/>
  <c r="F58" i="5" l="1"/>
  <c r="M58" i="5" a="1"/>
  <c r="M58" i="5" l="1"/>
  <c r="F55" i="5" l="1"/>
  <c r="M55" i="5" a="1"/>
  <c r="M55" i="5" l="1"/>
  <c r="F56" i="5" l="1"/>
  <c r="M56" i="5" a="1"/>
  <c r="M56" i="5" l="1"/>
  <c r="F57" i="5" l="1"/>
  <c r="M57" i="5" a="1"/>
  <c r="M57" i="5" l="1"/>
  <c r="F61" i="5"/>
  <c r="M61" i="5" a="1"/>
  <c r="M61" i="5" l="1"/>
  <c r="F60" i="5"/>
  <c r="M60" i="5" a="1"/>
  <c r="M60" i="5" l="1"/>
  <c r="F62" i="5"/>
  <c r="M62" i="5" a="1"/>
  <c r="M62" i="5" l="1"/>
  <c r="E26" i="6" l="1"/>
  <c r="D26" i="6" a="1"/>
  <c r="D26" i="6" l="1"/>
  <c r="F26" i="6"/>
  <c r="M26" i="6" a="1"/>
  <c r="L26" i="6" a="1"/>
  <c r="N26" i="6" a="1"/>
  <c r="L26" i="6" l="1"/>
  <c r="M26" i="6"/>
  <c r="N26" i="6"/>
  <c r="E32" i="6"/>
  <c r="D32" i="6" a="1"/>
  <c r="D32" i="6" l="1"/>
  <c r="F32" i="6"/>
  <c r="E22" i="6"/>
  <c r="N32" i="6" a="1"/>
  <c r="D22" i="6" a="1"/>
  <c r="L32" i="6" a="1"/>
  <c r="M32" i="6" a="1"/>
  <c r="D22" i="6" l="1"/>
  <c r="L32" i="6"/>
  <c r="M32" i="6"/>
  <c r="N32" i="6"/>
  <c r="F22" i="6"/>
  <c r="E21" i="6"/>
  <c r="N22" i="6" a="1"/>
  <c r="L22" i="6" a="1"/>
  <c r="D21" i="6" a="1"/>
  <c r="M22" i="6" a="1"/>
  <c r="D21" i="6" l="1"/>
  <c r="N22" i="6"/>
  <c r="M22" i="6"/>
  <c r="L22" i="6"/>
  <c r="F21" i="6"/>
  <c r="E27" i="6"/>
  <c r="N21" i="6" a="1"/>
  <c r="D27" i="6" a="1"/>
  <c r="L21" i="6" a="1"/>
  <c r="M21" i="6" a="1"/>
  <c r="D27" i="6" l="1"/>
  <c r="N21" i="6"/>
  <c r="M21" i="6"/>
  <c r="L21" i="6"/>
  <c r="F27" i="6"/>
  <c r="N27" i="6" a="1"/>
  <c r="M27" i="6" a="1"/>
  <c r="L27" i="6" a="1"/>
  <c r="M27" i="6" l="1"/>
  <c r="L27" i="6"/>
  <c r="N27" i="6"/>
  <c r="E24" i="6"/>
  <c r="D24" i="6" a="1"/>
  <c r="D24" i="6" l="1"/>
  <c r="F24" i="6"/>
  <c r="E31" i="6"/>
  <c r="N24" i="6" a="1"/>
  <c r="L24" i="6" a="1"/>
  <c r="D31" i="6" a="1"/>
  <c r="M24" i="6" a="1"/>
  <c r="D31" i="6" l="1"/>
  <c r="M24" i="6"/>
  <c r="L24" i="6"/>
  <c r="N24" i="6"/>
  <c r="F31" i="6"/>
  <c r="E25" i="6"/>
  <c r="L31" i="6" a="1"/>
  <c r="D25" i="6" a="1"/>
  <c r="M31" i="6" a="1"/>
  <c r="N31" i="6" a="1"/>
  <c r="D25" i="6" l="1"/>
  <c r="N31" i="6"/>
  <c r="L31" i="6"/>
  <c r="M31" i="6"/>
  <c r="F25" i="6"/>
  <c r="E28" i="6"/>
  <c r="D28" i="6" a="1"/>
  <c r="L25" i="6" a="1"/>
  <c r="M25" i="6" a="1"/>
  <c r="N25" i="6" a="1"/>
  <c r="M25" i="6" l="1"/>
  <c r="L25" i="6"/>
  <c r="N25" i="6"/>
  <c r="D28" i="6"/>
  <c r="F28" i="6"/>
  <c r="E23" i="6"/>
  <c r="L28" i="6" a="1"/>
  <c r="N28" i="6" a="1"/>
  <c r="D23" i="6" a="1"/>
  <c r="M28" i="6" a="1"/>
  <c r="D23" i="6" l="1"/>
  <c r="N28" i="6"/>
  <c r="M28" i="6"/>
  <c r="L28" i="6"/>
  <c r="F23" i="6"/>
  <c r="E29" i="6"/>
  <c r="M23" i="6" a="1"/>
  <c r="D29" i="6" a="1"/>
  <c r="L23" i="6" a="1"/>
  <c r="N23" i="6" a="1"/>
  <c r="D29" i="6" l="1"/>
  <c r="L23" i="6"/>
  <c r="M23" i="6"/>
  <c r="N23" i="6"/>
  <c r="F29" i="6"/>
  <c r="N29" i="6" a="1"/>
  <c r="M29" i="6" a="1"/>
  <c r="L29" i="6" a="1"/>
  <c r="L29" i="6" l="1"/>
  <c r="M29" i="6"/>
  <c r="N29" i="6"/>
  <c r="E30" i="6"/>
  <c r="D30" i="6" a="1"/>
  <c r="D30" i="6" l="1"/>
  <c r="F30" i="6"/>
  <c r="M30" i="6" a="1"/>
  <c r="L30" i="6" a="1"/>
  <c r="N30" i="6" a="1"/>
  <c r="M30" i="6" l="1"/>
  <c r="L30" i="6"/>
  <c r="N30" i="6"/>
  <c r="K4" i="17" a="1"/>
  <c r="K15" i="17" a="1"/>
  <c r="K9" i="17" a="1"/>
  <c r="K7" i="17" a="1"/>
  <c r="K8" i="17" a="1"/>
  <c r="K6" i="17" a="1"/>
  <c r="K11" i="17" a="1"/>
  <c r="K10" i="17" a="1"/>
  <c r="K13" i="17" a="1"/>
  <c r="K12" i="17" a="1"/>
  <c r="K5" i="17" a="1"/>
  <c r="K3" i="17" a="1"/>
  <c r="K14" i="17" a="1"/>
  <c r="K10" i="17" l="1"/>
  <c r="K11" i="17"/>
  <c r="K12" i="17"/>
  <c r="K9" i="17"/>
  <c r="K13" i="17"/>
  <c r="K14" i="17"/>
  <c r="K3" i="17"/>
  <c r="K15" i="17"/>
  <c r="K4" i="17"/>
  <c r="K5" i="17"/>
  <c r="K6" i="17"/>
  <c r="K7" i="17"/>
  <c r="K8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8742BF-7EB7-4562-86A3-8E94D19AADE1}" keepAlive="1" name="Query - IOL_AHU61 (2)" description="Connection to the 'IOL_AHU61 (2)' query in the workbook." type="5" refreshedVersion="7" background="1" saveData="1">
    <dbPr connection="Provider=Microsoft.Mashup.OleDb.1;Data Source=$Workbook$;Location=&quot;IOL_AHU61 (2)&quot;;Extended Properties=&quot;&quot;" command="SELECT * FROM [IOL_AHU61 (2)]"/>
  </connection>
  <connection id="2" xr16:uid="{F810DE66-FE27-41DC-988F-EC496562E48A}" keepAlive="1" name="Query - IOL_AHU61 (3)" description="Connection to the 'IOL_AHU61 (3)' query in the workbook." type="5" refreshedVersion="7" background="1" saveData="1">
    <dbPr connection="Provider=Microsoft.Mashup.OleDb.1;Data Source=$Workbook$;Location=&quot;IOL_AHU61 (3)&quot;;Extended Properties=&quot;&quot;" command="SELECT * FROM [IOL_AHU61 (3)]"/>
  </connection>
  <connection id="3" xr16:uid="{013C276A-C214-4A67-B499-8E40CE91F2B4}" keepAlive="1" name="Query - IOL_AHU61 (4)" description="Connection to the 'IOL_AHU61 (4)' query in the workbook." type="5" refreshedVersion="7" background="1" saveData="1">
    <dbPr connection="Provider=Microsoft.Mashup.OleDb.1;Data Source=$Workbook$;Location=&quot;IOL_AHU61 (4)&quot;;Extended Properties=&quot;&quot;" command="SELECT * FROM [IOL_AHU61 (4)]"/>
  </connection>
  <connection id="4" xr16:uid="{03AEC3B6-05CB-4BEE-9094-534C84325F4F}" keepAlive="1" name="Query - Table8" description="Connection to the 'Table8' query in the workbook." type="5" refreshedVersion="7" background="1" saveData="1">
    <dbPr connection="Provider=Microsoft.Mashup.OleDb.1;Data Source=$Workbook$;Location=Table8;Extended Properties=&quot;&quot;" command="SELECT * FROM [Table8]"/>
  </connection>
  <connection id="5" xr16:uid="{209C8CDF-1E74-49F3-A2ED-D70A0B8F2299}" keepAlive="1" name="Query - Table8 (10)" description="Connection to the 'Table8 (10)' query in the workbook." type="5" refreshedVersion="7" background="1" saveData="1">
    <dbPr connection="Provider=Microsoft.Mashup.OleDb.1;Data Source=$Workbook$;Location=&quot;Table8 (10)&quot;;Extended Properties=&quot;&quot;" command="SELECT * FROM [Table8 (10)]"/>
  </connection>
  <connection id="6" xr16:uid="{C020B3A5-68EE-4D59-8D35-5E6F83EC6DB1}" keepAlive="1" name="Query - Table8 (11)" description="Connection to the 'Table8 (11)' query in the workbook." type="5" refreshedVersion="7" background="1" saveData="1">
    <dbPr connection="Provider=Microsoft.Mashup.OleDb.1;Data Source=$Workbook$;Location=&quot;Table8 (11)&quot;;Extended Properties=&quot;&quot;" command="SELECT * FROM [Table8 (11)]"/>
  </connection>
  <connection id="7" xr16:uid="{0EBF9D56-F0E8-4127-B300-EA7A3C3A53D2}" keepAlive="1" name="Query - Table8 (12)" description="Connection to the 'Table8 (12)' query in the workbook." type="5" refreshedVersion="7" background="1" saveData="1">
    <dbPr connection="Provider=Microsoft.Mashup.OleDb.1;Data Source=$Workbook$;Location=&quot;Table8 (12)&quot;;Extended Properties=&quot;&quot;" command="SELECT * FROM [Table8 (12)]"/>
  </connection>
  <connection id="8" xr16:uid="{34190B2E-B5E0-46AF-AD43-6B16B76EE202}" keepAlive="1" name="Query - Table8 (14)" description="Connection to the 'Table8 (14)' query in the workbook." type="5" refreshedVersion="7" background="1" saveData="1">
    <dbPr connection="Provider=Microsoft.Mashup.OleDb.1;Data Source=$Workbook$;Location=&quot;Table8 (14)&quot;;Extended Properties=&quot;&quot;" command="SELECT * FROM [Table8 (14)]"/>
  </connection>
  <connection id="9" xr16:uid="{A9367883-7A64-4D4B-AC67-F5D29A0B79FA}" keepAlive="1" name="Query - Table8 (15)" description="Connection to the 'Table8 (15)' query in the workbook." type="5" refreshedVersion="7" background="1" saveData="1">
    <dbPr connection="Provider=Microsoft.Mashup.OleDb.1;Data Source=$Workbook$;Location=&quot;Table8 (15)&quot;;Extended Properties=&quot;&quot;" command="SELECT * FROM [Table8 (15)]"/>
  </connection>
  <connection id="10" xr16:uid="{C991544B-B5E8-4FDF-9A86-913C9C00F9DC}" keepAlive="1" name="Query - Table8 (16)" description="Connection to the 'Table8 (16)' query in the workbook." type="5" refreshedVersion="7" background="1" saveData="1">
    <dbPr connection="Provider=Microsoft.Mashup.OleDb.1;Data Source=$Workbook$;Location=&quot;Table8 (16)&quot;;Extended Properties=&quot;&quot;" command="SELECT * FROM [Table8 (16)]"/>
  </connection>
  <connection id="11" xr16:uid="{BAB2FA88-31EA-4CCC-B889-E0D00A753067}" keepAlive="1" name="Query - Table8 (17)" description="Connection to the 'Table8 (17)' query in the workbook." type="5" refreshedVersion="7" background="1" saveData="1">
    <dbPr connection="Provider=Microsoft.Mashup.OleDb.1;Data Source=$Workbook$;Location=&quot;Table8 (17)&quot;;Extended Properties=&quot;&quot;" command="SELECT * FROM [Table8 (17)]"/>
  </connection>
  <connection id="12" xr16:uid="{9110E54A-C8B3-49D3-8861-EF404B59888D}" keepAlive="1" name="Query - Table8 (18)" description="Connection to the 'Table8 (18)' query in the workbook." type="5" refreshedVersion="7" background="1" saveData="1">
    <dbPr connection="Provider=Microsoft.Mashup.OleDb.1;Data Source=$Workbook$;Location=&quot;Table8 (18)&quot;;Extended Properties=&quot;&quot;" command="SELECT * FROM [Table8 (18)]"/>
  </connection>
  <connection id="13" xr16:uid="{690BFB0A-9228-4DAF-8488-CB7A8B24B4A3}" keepAlive="1" name="Query - Table8 (19)" description="Connection to the 'Table8 (19)' query in the workbook." type="5" refreshedVersion="7" background="1" saveData="1">
    <dbPr connection="Provider=Microsoft.Mashup.OleDb.1;Data Source=$Workbook$;Location=&quot;Table8 (19)&quot;;Extended Properties=&quot;&quot;" command="SELECT * FROM [Table8 (19)]"/>
  </connection>
  <connection id="14" xr16:uid="{1140F53E-823E-44E6-8BAA-6383B7AC0BF5}" keepAlive="1" name="Query - Table8 (2)" description="Connection to the 'Table8 (2)' query in the workbook." type="5" refreshedVersion="7" background="1" saveData="1">
    <dbPr connection="Provider=Microsoft.Mashup.OleDb.1;Data Source=$Workbook$;Location=&quot;Table8 (2)&quot;;Extended Properties=&quot;&quot;" command="SELECT * FROM [Table8 (2)]"/>
  </connection>
  <connection id="15" xr16:uid="{A569AA6F-111A-49B7-962A-E22D11E2EE6C}" keepAlive="1" name="Query - Table8 (20)" description="Connection to the 'Table8 (20)' query in the workbook." type="5" refreshedVersion="7" background="1" saveData="1">
    <dbPr connection="Provider=Microsoft.Mashup.OleDb.1;Data Source=$Workbook$;Location=&quot;Table8 (20)&quot;;Extended Properties=&quot;&quot;" command="SELECT * FROM [Table8 (20)]"/>
  </connection>
  <connection id="16" xr16:uid="{BFDE83AA-B019-4EA7-9AA6-D7830903534E}" keepAlive="1" name="Query - Table8 (21)" description="Connection to the 'Table8 (21)' query in the workbook." type="5" refreshedVersion="7" background="1" saveData="1">
    <dbPr connection="Provider=Microsoft.Mashup.OleDb.1;Data Source=$Workbook$;Location=&quot;Table8 (21)&quot;;Extended Properties=&quot;&quot;" command="SELECT * FROM [Table8 (21)]"/>
  </connection>
  <connection id="17" xr16:uid="{42528B41-ECB0-4FDE-9B6F-A04D6BD32640}" keepAlive="1" name="Query - Table8 (22)" description="Connection to the 'Table8 (22)' query in the workbook." type="5" refreshedVersion="7" background="1" saveData="1">
    <dbPr connection="Provider=Microsoft.Mashup.OleDb.1;Data Source=$Workbook$;Location=&quot;Table8 (22)&quot;;Extended Properties=&quot;&quot;" command="SELECT * FROM [Table8 (22)]"/>
  </connection>
  <connection id="18" xr16:uid="{D49B58F1-8590-481F-A429-3D170D840DE6}" keepAlive="1" name="Query - Table8 (23)" description="Connection to the 'Table8 (23)' query in the workbook." type="5" refreshedVersion="7" background="1" saveData="1">
    <dbPr connection="Provider=Microsoft.Mashup.OleDb.1;Data Source=$Workbook$;Location=&quot;Table8 (23)&quot;;Extended Properties=&quot;&quot;" command="SELECT * FROM [Table8 (23)]"/>
  </connection>
  <connection id="19" xr16:uid="{D6583176-8D06-4416-8035-0531C5F7ABBA}" keepAlive="1" name="Query - Table8 (24)" description="Connection to the 'Table8 (24)' query in the workbook." type="5" refreshedVersion="7" background="1" saveData="1">
    <dbPr connection="Provider=Microsoft.Mashup.OleDb.1;Data Source=$Workbook$;Location=&quot;Table8 (24)&quot;;Extended Properties=&quot;&quot;" command="SELECT * FROM [Table8 (24)]"/>
  </connection>
  <connection id="20" xr16:uid="{1DD11172-E4B6-4D92-9A7D-A7BBB44B77FF}" keepAlive="1" name="Query - Table8 (3)" description="Connection to the 'Table8 (3)' query in the workbook." type="5" refreshedVersion="7" background="1" saveData="1">
    <dbPr connection="Provider=Microsoft.Mashup.OleDb.1;Data Source=$Workbook$;Location=&quot;Table8 (3)&quot;;Extended Properties=&quot;&quot;" command="SELECT * FROM [Table8 (3)]"/>
  </connection>
  <connection id="21" xr16:uid="{5CD34232-15F6-4764-9C3B-2DF847F1C3AB}" keepAlive="1" name="Query - Table8 (4)" description="Connection to the 'Table8 (4)' query in the workbook." type="5" refreshedVersion="7" background="1" saveData="1">
    <dbPr connection="Provider=Microsoft.Mashup.OleDb.1;Data Source=$Workbook$;Location=&quot;Table8 (4)&quot;;Extended Properties=&quot;&quot;" command="SELECT * FROM [Table8 (4)]"/>
  </connection>
  <connection id="22" xr16:uid="{8A8655AA-F82D-486B-943E-128EB8303A8A}" keepAlive="1" name="Query - Table8 (5)" description="Connection to the 'Table8 (5)' query in the workbook." type="5" refreshedVersion="7" background="1" saveData="1">
    <dbPr connection="Provider=Microsoft.Mashup.OleDb.1;Data Source=$Workbook$;Location=&quot;Table8 (5)&quot;;Extended Properties=&quot;&quot;" command="SELECT * FROM [Table8 (5)]"/>
  </connection>
  <connection id="23" xr16:uid="{EE6C23AF-4750-417C-8C48-B57080B93714}" keepAlive="1" name="Query - Table8 (6)" description="Connection to the 'Table8 (6)' query in the workbook." type="5" refreshedVersion="7" background="1" saveData="1">
    <dbPr connection="Provider=Microsoft.Mashup.OleDb.1;Data Source=$Workbook$;Location=&quot;Table8 (6)&quot;;Extended Properties=&quot;&quot;" command="SELECT * FROM [Table8 (6)]"/>
  </connection>
  <connection id="24" xr16:uid="{B908FF92-8FBB-46E0-B744-7DD93910E08A}" keepAlive="1" name="Query - Table8 (7)" description="Connection to the 'Table8 (7)' query in the workbook." type="5" refreshedVersion="7" background="1" saveData="1">
    <dbPr connection="Provider=Microsoft.Mashup.OleDb.1;Data Source=$Workbook$;Location=&quot;Table8 (7)&quot;;Extended Properties=&quot;&quot;" command="SELECT * FROM [Table8 (7)]"/>
  </connection>
  <connection id="25" xr16:uid="{6262652A-C88C-48C3-BE57-F8EBDBC2CC2B}" keepAlive="1" name="Query - Table8 (8)" description="Connection to the 'Table8 (8)' query in the workbook." type="5" refreshedVersion="7" background="1" saveData="1">
    <dbPr connection="Provider=Microsoft.Mashup.OleDb.1;Data Source=$Workbook$;Location=&quot;Table8 (8)&quot;;Extended Properties=&quot;&quot;" command="SELECT * FROM [Table8 (8)]"/>
  </connection>
  <connection id="26" xr16:uid="{5C8497C8-12AC-494E-AF38-CB3291978FA8}" keepAlive="1" name="Query - Table8 (9)" description="Connection to the 'Table8 (9)' query in the workbook." type="5" refreshedVersion="7" background="1" saveData="1">
    <dbPr connection="Provider=Microsoft.Mashup.OleDb.1;Data Source=$Workbook$;Location=&quot;Table8 (9)&quot;;Extended Properties=&quot;&quot;" command="SELECT * FROM [Table8 (9)]"/>
  </connection>
  <connection id="27" xr16:uid="{829E96F5-65CD-4DCB-A703-20A91BF13DC2}" keepAlive="1" name="Query - UnitQuery" description="Connection to the 'UnitQuery' query in the workbook." type="5" refreshedVersion="0" background="1">
    <dbPr connection="Provider=Microsoft.Mashup.OleDb.1;Data Source=$Workbook$;Location=UnitQuery;Extended Properties=&quot;&quot;" command="SELECT * FROM [UnitQuery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<sst xmlns="http://schemas.openxmlformats.org/spreadsheetml/2006/main" count="15937" uniqueCount="3369">
  <si>
    <t>DInt</t>
  </si>
  <si>
    <t>Column1</t>
  </si>
  <si>
    <t>Tag</t>
  </si>
  <si>
    <t>Type</t>
  </si>
  <si>
    <t>ID</t>
  </si>
  <si>
    <t>Obj</t>
  </si>
  <si>
    <t>PV</t>
  </si>
  <si>
    <t>RealTag</t>
  </si>
  <si>
    <t>startCommand</t>
  </si>
  <si>
    <t>setpointRaw</t>
  </si>
  <si>
    <t>supply</t>
  </si>
  <si>
    <t>serviceSwitch</t>
  </si>
  <si>
    <t>thermicFeedback</t>
  </si>
  <si>
    <t>commError</t>
  </si>
  <si>
    <t>fbRunning</t>
  </si>
  <si>
    <t>feedbackRaw</t>
  </si>
  <si>
    <t>Column2</t>
  </si>
  <si>
    <t>Analogue Measurement</t>
  </si>
  <si>
    <t>HS_EC_BU_PHASE</t>
  </si>
  <si>
    <t>HS_ECBU_AU</t>
  </si>
  <si>
    <t>FC_OK_BU</t>
  </si>
  <si>
    <t>HS_EC_EAHUMAHU_PHASE</t>
  </si>
  <si>
    <t>HS_BTAEAHUMAHU_AU</t>
  </si>
  <si>
    <t>FC_OK_EAHUMAHU</t>
  </si>
  <si>
    <t>FC_OK_AHU12</t>
  </si>
  <si>
    <t>AHU_0201_PDSH_0001</t>
  </si>
  <si>
    <t>AHU_0201_PDSL_0001</t>
  </si>
  <si>
    <t>FC_OK_AHU34</t>
  </si>
  <si>
    <t>FC_OK_AHU56</t>
  </si>
  <si>
    <t>FC_OK_AHU78</t>
  </si>
  <si>
    <t>FC_OK_AHU9</t>
  </si>
  <si>
    <t>Connection</t>
  </si>
  <si>
    <t>Address</t>
  </si>
  <si>
    <t>Code</t>
  </si>
  <si>
    <t>PLC</t>
  </si>
  <si>
    <t>AHU_0203_EHB_0001</t>
  </si>
  <si>
    <t>AHU_0203_EHB_0002</t>
  </si>
  <si>
    <t>AHU_0204_EHB_0001</t>
  </si>
  <si>
    <t>AHU_0205_EHB_0001</t>
  </si>
  <si>
    <t>AHU_0206_EHB_0001</t>
  </si>
  <si>
    <t>AHU_0207_EHB_0001</t>
  </si>
  <si>
    <t>AHU_0208_EHB_0001</t>
  </si>
  <si>
    <t>AHU_0208_EHB_0002</t>
  </si>
  <si>
    <t>AHU_0209_EHB_0001</t>
  </si>
  <si>
    <t>AHU_0209_EHB_0002</t>
  </si>
  <si>
    <t>AHU_0209_EHB_0003</t>
  </si>
  <si>
    <t>AHU_0200_DPS_0001</t>
  </si>
  <si>
    <t>AHU_0200_DPS_0002</t>
  </si>
  <si>
    <t>AHU_0200_DPS_0003</t>
  </si>
  <si>
    <t>AHU_0200_LS_0001</t>
  </si>
  <si>
    <t>AHU_0200_MX_0001</t>
  </si>
  <si>
    <t>AHU_0200_TX_0001</t>
  </si>
  <si>
    <t>HS_BTNAHU_0201_0202_PHASE</t>
  </si>
  <si>
    <t>HS_BTAHU_0201_0202_AU</t>
  </si>
  <si>
    <t>AHU_0201_DPS_0003</t>
  </si>
  <si>
    <t>AHU_0201_DPS_0001</t>
  </si>
  <si>
    <t>AHU_0201_DPS_0002</t>
  </si>
  <si>
    <t>AHU_0201_LS_0001</t>
  </si>
  <si>
    <t>AHU_0202_DPS_0004</t>
  </si>
  <si>
    <t>AHU_0202_DPS_0003</t>
  </si>
  <si>
    <t>AHU_0202_DPS_0001</t>
  </si>
  <si>
    <t>AHU_0202_DPS_0002</t>
  </si>
  <si>
    <t>AHU_0202_PDSH_0001</t>
  </si>
  <si>
    <t>AHU_0202_PDSL_0001</t>
  </si>
  <si>
    <t>HS_BTNAHU_0203_0204_PHASE</t>
  </si>
  <si>
    <t>HS_BTAHU_0203_0204_AU</t>
  </si>
  <si>
    <t>AHU_0203_DPS_0003</t>
  </si>
  <si>
    <t>AHU_0203_DPS_0002</t>
  </si>
  <si>
    <t>AHU_0203_DPS_0004</t>
  </si>
  <si>
    <t>AHU_0203_DPS_0001</t>
  </si>
  <si>
    <t>AHU_0203_PDSH_0001</t>
  </si>
  <si>
    <t>AHU_0203_PDSL_0001</t>
  </si>
  <si>
    <t>AHU_0203_LS_0001</t>
  </si>
  <si>
    <t>AHU_0203_TG_0001</t>
  </si>
  <si>
    <t>AHU_0203_TG_0002</t>
  </si>
  <si>
    <t>AHU_0204_DPS_0004</t>
  </si>
  <si>
    <t>AHU_0204_DPS_0003</t>
  </si>
  <si>
    <t>AHU_0204_DPS_0001</t>
  </si>
  <si>
    <t>AHU_0204_DPS_0002</t>
  </si>
  <si>
    <t>AHU_0204_PDSH_0001</t>
  </si>
  <si>
    <t>AHU_0204_PDSL_0001</t>
  </si>
  <si>
    <t>AHU_0204_TG_0001</t>
  </si>
  <si>
    <t>HS_BTAHU_0205_0206_PHASE</t>
  </si>
  <si>
    <t>HS_BTAHU_0205_0206_AU</t>
  </si>
  <si>
    <t>AHU_0205_DPS_0004</t>
  </si>
  <si>
    <t>AHU_0205_DPS_0003</t>
  </si>
  <si>
    <t>AHU_0205_DPS_0001</t>
  </si>
  <si>
    <t>AHU_0205_DPS_0002</t>
  </si>
  <si>
    <t>AHU_0205_PDSH_0001</t>
  </si>
  <si>
    <t>AHU_0205_PDSL_0001</t>
  </si>
  <si>
    <t>AHU_0205_LS_0001</t>
  </si>
  <si>
    <t>AHU_0205_TG_0001</t>
  </si>
  <si>
    <t>AHU_0206_DPS_0004</t>
  </si>
  <si>
    <t>AHU_0206_DPS_0003</t>
  </si>
  <si>
    <t>AHU_0206_DPS_0001</t>
  </si>
  <si>
    <t>AHU_0206_DPS_0002</t>
  </si>
  <si>
    <t>AHU_0206_PDSH_0001</t>
  </si>
  <si>
    <t>AHU_0206_PDSL_0001</t>
  </si>
  <si>
    <t>AHU_0206_TG_0001</t>
  </si>
  <si>
    <t>HS_AHU_0207_0208_PHASE</t>
  </si>
  <si>
    <t>HS_AHU_0207_0208_AU</t>
  </si>
  <si>
    <t>AHU_0207_DPS_0004</t>
  </si>
  <si>
    <t>AHU_0207_DPS_0003</t>
  </si>
  <si>
    <t>AHU_0207_DPS_0001</t>
  </si>
  <si>
    <t>AHU_0207_DPS_0002</t>
  </si>
  <si>
    <t>AHU_0207_PDSH_0001</t>
  </si>
  <si>
    <t>AHU_0207_PDSL_0001</t>
  </si>
  <si>
    <t>AHU_0207_TG_0001</t>
  </si>
  <si>
    <t>AHU_0208_DPS_0003</t>
  </si>
  <si>
    <t>AHU_0208_DPS_0005</t>
  </si>
  <si>
    <t>AHU_0208_DPS_0004</t>
  </si>
  <si>
    <t>AHU_0208_DPS_0001</t>
  </si>
  <si>
    <t>AHU_0208_DPS_0002</t>
  </si>
  <si>
    <t>AHU_0208_PDSH_0001</t>
  </si>
  <si>
    <t>AHU_0208_PDSL_0001</t>
  </si>
  <si>
    <t>AHU_0208_TG_0001</t>
  </si>
  <si>
    <t>AHU_0208_TG_0002</t>
  </si>
  <si>
    <t>HS_AHU_0209_AU</t>
  </si>
  <si>
    <t>AHU_0209_DPS_0003</t>
  </si>
  <si>
    <t>AHU_0209_DPS_0004</t>
  </si>
  <si>
    <t>AHU_0209_DPS_0002</t>
  </si>
  <si>
    <t>AHU_0209_DPS_0005</t>
  </si>
  <si>
    <t>AHU_0209_PDSH_0001</t>
  </si>
  <si>
    <t>AHU_0209_PDSL_0001</t>
  </si>
  <si>
    <t>AHU_0209_LS_0001</t>
  </si>
  <si>
    <t>AHU_0209_TG_0001</t>
  </si>
  <si>
    <t>AHU_0209_TG_0002</t>
  </si>
  <si>
    <t>AHU_0209_TG_0003</t>
  </si>
  <si>
    <t>AHU_0209_DPS_0001</t>
  </si>
  <si>
    <t>0200</t>
  </si>
  <si>
    <t>0201</t>
  </si>
  <si>
    <t>0202</t>
  </si>
  <si>
    <t>System</t>
  </si>
  <si>
    <t>SPARE-PID-0</t>
  </si>
  <si>
    <t>0203</t>
  </si>
  <si>
    <t>0204</t>
  </si>
  <si>
    <t>0205</t>
  </si>
  <si>
    <t>0206</t>
  </si>
  <si>
    <t>0207</t>
  </si>
  <si>
    <t>0208</t>
  </si>
  <si>
    <t>0209</t>
  </si>
  <si>
    <t>Process</t>
  </si>
  <si>
    <t>AnalogueMeasureProcess</t>
  </si>
  <si>
    <t>MotorOnOffProcess</t>
  </si>
  <si>
    <t>ValveOnOffProcess</t>
  </si>
  <si>
    <t>ValveModulatingProcess</t>
  </si>
  <si>
    <t>ContPIDProcess</t>
  </si>
  <si>
    <t>ObjMotorModulating.InOut[$]</t>
  </si>
  <si>
    <t>ObjAnalogueMeasure.InOut[$]</t>
  </si>
  <si>
    <t>ObjValveOnOff.InOut[$]</t>
  </si>
  <si>
    <t>ObjMotorOnOff.InOut[$]</t>
  </si>
  <si>
    <t>ObjDoor.InOut[$]</t>
  </si>
  <si>
    <t>ObjValveModulating.InOut[$]</t>
  </si>
  <si>
    <t>ObjDigitalInput.InOut[$]</t>
  </si>
  <si>
    <t>AHU_0201_R09_PWM1</t>
  </si>
  <si>
    <t>RegPWMProcess</t>
  </si>
  <si>
    <t xml:space="preserve">#$TAG$(cycle:=#cycle,
           Process:=$PROCESS$,
           InOut:=$INOUT$,
           Parameters:=$PARAMETERS$,
           Settings:=$SETTINGS$,
           Statistic:=$STATISTIC$);
</t>
  </si>
  <si>
    <t>AHU_0201_TG_0001</t>
  </si>
  <si>
    <t>AHU_0202_TG_0001</t>
  </si>
  <si>
    <t>ObjRegPWM.InOut[$]</t>
  </si>
  <si>
    <t>AHU_0201_EHB_0001</t>
  </si>
  <si>
    <t>AHU_0202_EHB_0001</t>
  </si>
  <si>
    <t>AMS</t>
  </si>
  <si>
    <t xml:space="preserve">"EvalAMS"(message := #$P$.InOut[$ID$].Base.message,
          config := #$P$.AMS[$ID$].$TYPE$,
          event := #Unit.AMS.Mem.$TYPE$);
</t>
  </si>
  <si>
    <t>AHU_0202_R13_PWM1</t>
  </si>
  <si>
    <t>AHU_0203_R15_PWM1</t>
  </si>
  <si>
    <t>AHU_0203_R23_PWM1</t>
  </si>
  <si>
    <t>AHU_0204_R17_PWM1</t>
  </si>
  <si>
    <t>AHU_0205_R21_PWM1</t>
  </si>
  <si>
    <t>AHU_0206_R25_PWM1</t>
  </si>
  <si>
    <t>AHU_0207_R28_PWM1</t>
  </si>
  <si>
    <t>AHU_0208_R31_PWM1</t>
  </si>
  <si>
    <t>AHU_0208_R34_PWM1</t>
  </si>
  <si>
    <t>AHU_0209_R01_PWM1</t>
  </si>
  <si>
    <t>AHU_0209_R02_PWM1</t>
  </si>
  <si>
    <t>AHU_0209_RMD_PWM1</t>
  </si>
  <si>
    <t>AnalogueMeasure</t>
  </si>
  <si>
    <t>MotorOnOff</t>
  </si>
  <si>
    <t>AHU_0200</t>
  </si>
  <si>
    <t>AHU_0201</t>
  </si>
  <si>
    <t>AHU_0202</t>
  </si>
  <si>
    <t>AHU_0203</t>
  </si>
  <si>
    <t>AHU_0204</t>
  </si>
  <si>
    <t>AHU_0205</t>
  </si>
  <si>
    <t>AHU_0206</t>
  </si>
  <si>
    <t>AHU_0207</t>
  </si>
  <si>
    <t>AHU_0208</t>
  </si>
  <si>
    <t>AHU_0209</t>
  </si>
  <si>
    <t>ObjTempManager.InOut[$]</t>
  </si>
  <si>
    <t>ObjUnit.InOut[$]</t>
  </si>
  <si>
    <t xml:space="preserve">#$TAG$(reset:=#Unit.AHU.Command.General_reset,
           Process:=$PROCESS$,
           InOut:=$INOUT$,
           Parameters:=$PARAMETERS$,
           Settings:=$SETTINGS$);
</t>
  </si>
  <si>
    <t xml:space="preserve">#$TAG$(reset:=#Unit.AHU.Command.General_reset,
           Process:=$PROCESS$,
          InOut:=$INOUT$,
          Parameters:=$PARAMETERS$,
          Settings:=$SETTINGS$,
          Statistic:=$STATISTIC$);
</t>
  </si>
  <si>
    <t xml:space="preserve">#$TAG$(reset:=#Unit.AHU.Command.General_reset,
           Process:=$PROCESS$,
                       InOut:=$INOUT$,
                       Parameters:=$PARAMETERS$,
                       Settings:=$SETTINGS$);
</t>
  </si>
  <si>
    <t>#Unit.AHU.Command.Emergency_stop</t>
  </si>
  <si>
    <t xml:space="preserve">#$TAG$(emergencyStop:=#Unit.AHU.Command.Emergency_stop,
           reset:=#Unit.AHU.Command.General_reset,
           Process:=$PROCESS$,
          InOut:=$INOUT$,
          Parameters:=$PARAMETERS$,
          Settings:=$SETTINGS$,
          Statistic:=$STATISTIC$);
</t>
  </si>
  <si>
    <t>Custom</t>
  </si>
  <si>
    <t>DATA_BLOCK "$NAME$"
{ DB_Accessible_From_OPC_UA := 'FALSE' ;
 S7_Optimized_Access := 'TRUE' }
VERSION : 0.1
NON_RETAIN
"StatnECBLUE"
BEGIN
END_DATA_BLOCK</t>
  </si>
  <si>
    <t>Column3</t>
  </si>
  <si>
    <t xml:space="preserve">#$NAME$(address:=$ADD$,
                  Query := "Query");
</t>
  </si>
  <si>
    <t>Column4</t>
  </si>
  <si>
    <t xml:space="preserve">"StatnECBLUE_DataToHMI"(DataHMI := "ModbusHMI".Data[#"__$NAME$"],
                        DataEC := "ModbusStations".$NAME$.Data);
</t>
  </si>
  <si>
    <t>Column5</t>
  </si>
  <si>
    <t>AHU_0200_DPS_0004</t>
  </si>
  <si>
    <t xml:space="preserve">"AlarmWarningAMS"(Base:=#$P$.InOut[$ID$].Base,
                  ConfigAMS:=#$P$.AMS[$ID$],
                  ResultAMS:=#Unit.AMS);
</t>
  </si>
  <si>
    <t xml:space="preserve">#$TAG$(cycle:=#cycle,
           reset:=#Unit.AHU.Command.General_reset,
           Process:=$PROCESS$,
           InOut:=$INOUT$,
           Parameters:=$PARAMETERS$,
           Settings:=$SETTINGS$);
</t>
  </si>
  <si>
    <t>AHU_0207_LS_0001</t>
  </si>
  <si>
    <t>DigitalInput</t>
  </si>
  <si>
    <t>BU_HW</t>
  </si>
  <si>
    <t>BU_CW</t>
  </si>
  <si>
    <t>PHASE</t>
  </si>
  <si>
    <t>ES</t>
  </si>
  <si>
    <t>FC</t>
  </si>
  <si>
    <t>DPS</t>
  </si>
  <si>
    <t>LS</t>
  </si>
  <si>
    <t>MX</t>
  </si>
  <si>
    <t>TX</t>
  </si>
  <si>
    <t>PDSH</t>
  </si>
  <si>
    <t>PDSL</t>
  </si>
  <si>
    <t>TG</t>
  </si>
  <si>
    <t>Emergency Stop Alarm</t>
  </si>
  <si>
    <t>Fire Central Alarm</t>
  </si>
  <si>
    <t>Filter Dirty</t>
  </si>
  <si>
    <t>Leakage Detected</t>
  </si>
  <si>
    <t>Hygrostat Activated</t>
  </si>
  <si>
    <t>Freeze Protection Alarm</t>
  </si>
  <si>
    <t>High Pressure Alarm</t>
  </si>
  <si>
    <t>Low Pressure Alarm</t>
  </si>
  <si>
    <t>Thermal Protection Alarm</t>
  </si>
  <si>
    <t>Phase Asymetry Relay Alarm</t>
  </si>
  <si>
    <t>HS_BTNAHU_PHASE</t>
  </si>
  <si>
    <t>HS_BTAHU_MICRO</t>
  </si>
  <si>
    <t>HS_BTAHU_ES</t>
  </si>
  <si>
    <t>FC_OK</t>
  </si>
  <si>
    <t>AHU_0200_HS_BTNAHU_PHASE</t>
  </si>
  <si>
    <t>AHU_0200_FC_OK</t>
  </si>
  <si>
    <t>AHU_0201_HS_BTNAHU_PHASE</t>
  </si>
  <si>
    <t>AHU_0201_FC_OK</t>
  </si>
  <si>
    <t>AHU_0202_HS_BTNAHU_PHASE</t>
  </si>
  <si>
    <t>AHU_0202_FC_OK</t>
  </si>
  <si>
    <t>AHU_0203_HS_BTNAHU_PHASE</t>
  </si>
  <si>
    <t>AHU_0203_FC_OK</t>
  </si>
  <si>
    <t>AHU_0204_HS_BTNAHU_PHASE</t>
  </si>
  <si>
    <t>AHU_0204_FC_OK</t>
  </si>
  <si>
    <t>AHU_0205_HS_BTNAHU_PHASE</t>
  </si>
  <si>
    <t>AHU_0205_FC_OK</t>
  </si>
  <si>
    <t>AHU_0206_HS_BTNAHU_PHASE</t>
  </si>
  <si>
    <t>AHU_0206_FC_OK</t>
  </si>
  <si>
    <t>AHU_0207_HS_BTNAHU_PHASE</t>
  </si>
  <si>
    <t>AHU_0207_FC_OK</t>
  </si>
  <si>
    <t>AHU_0208_HS_BTNAHU_PHASE</t>
  </si>
  <si>
    <t>AHU_0208_FC_OK</t>
  </si>
  <si>
    <t>AHU_0209_HS_BTNAHU_PHASE</t>
  </si>
  <si>
    <t>AHU_0209_FC_OK</t>
  </si>
  <si>
    <t>BU_HW_HS_BTNAHU_PHASE</t>
  </si>
  <si>
    <t>BU_HW_FC_OK</t>
  </si>
  <si>
    <t>BU_CW_HS_BTNAHU_PHASE</t>
  </si>
  <si>
    <t>BU_CW_FC_OK</t>
  </si>
  <si>
    <t xml:space="preserve">#$TAG$(fire:=#Unit.AHU.Fire,
          reset:=#Unit.AHU.Command.General_reset,
          Process:=$PROCESS$,
          InOut:=$INOUT$,
          Parameters:=$PARAMETERS$,
          Settings:=$SETTINGS$,
          Statistic:=$STATISTIC$);
</t>
  </si>
  <si>
    <t>AHU-0209-DPS-0003</t>
  </si>
  <si>
    <t>AHU-0209-DPS-0004</t>
  </si>
  <si>
    <t>AHU-0209-DPS-0002</t>
  </si>
  <si>
    <t>AHU-0209-DPS-0005</t>
  </si>
  <si>
    <t>AHU-0209-PDSH-0001</t>
  </si>
  <si>
    <t>AHU-0209-PDSL-0001</t>
  </si>
  <si>
    <t>AHU-0209-LS-0001</t>
  </si>
  <si>
    <t>AHU-0209-TG-0001</t>
  </si>
  <si>
    <t>AHU-0209-TG-0002</t>
  </si>
  <si>
    <t>AHU-0209-TG-0003</t>
  </si>
  <si>
    <t>AHU-0209-DPS-0001</t>
  </si>
  <si>
    <t>AHU-0209-HS-BTNAHU-PHASE</t>
  </si>
  <si>
    <t>AHU-0209-HS-BTAHU-MICRO</t>
  </si>
  <si>
    <t>AHU-0209-HS-BTAHU-ES</t>
  </si>
  <si>
    <t>AHU-0209-FC-OK</t>
  </si>
  <si>
    <t>measure</t>
  </si>
  <si>
    <t>CH 0</t>
  </si>
  <si>
    <t>I0.0</t>
  </si>
  <si>
    <t>CH 1</t>
  </si>
  <si>
    <t>I0.1</t>
  </si>
  <si>
    <t>CH 2</t>
  </si>
  <si>
    <t>I0.2</t>
  </si>
  <si>
    <t>CH 3</t>
  </si>
  <si>
    <t>I0.3</t>
  </si>
  <si>
    <t>CH 4</t>
  </si>
  <si>
    <t>I0.4</t>
  </si>
  <si>
    <t>CH 5</t>
  </si>
  <si>
    <t>I0.5</t>
  </si>
  <si>
    <t>CH 6</t>
  </si>
  <si>
    <t>I0.6</t>
  </si>
  <si>
    <t>CH 7</t>
  </si>
  <si>
    <t>I0.7</t>
  </si>
  <si>
    <t>CH 8</t>
  </si>
  <si>
    <t>I1.0</t>
  </si>
  <si>
    <t>CH 9</t>
  </si>
  <si>
    <t>I1.1</t>
  </si>
  <si>
    <t>CH 10</t>
  </si>
  <si>
    <t>I1.2</t>
  </si>
  <si>
    <t>CH 11</t>
  </si>
  <si>
    <t>I1.3</t>
  </si>
  <si>
    <t>CH 12</t>
  </si>
  <si>
    <t>I1.4</t>
  </si>
  <si>
    <t>CH 13</t>
  </si>
  <si>
    <t>I1.5</t>
  </si>
  <si>
    <t>CH 14</t>
  </si>
  <si>
    <t>I1.6</t>
  </si>
  <si>
    <t>CH 15</t>
  </si>
  <si>
    <t>I1.7</t>
  </si>
  <si>
    <t>I2.0</t>
  </si>
  <si>
    <t>I2.1</t>
  </si>
  <si>
    <t>I2.2</t>
  </si>
  <si>
    <t>I2.3</t>
  </si>
  <si>
    <t>I2.4</t>
  </si>
  <si>
    <t>I2.5</t>
  </si>
  <si>
    <t>I2.6</t>
  </si>
  <si>
    <t>I2.7</t>
  </si>
  <si>
    <t>I3.0</t>
  </si>
  <si>
    <t>I3.1</t>
  </si>
  <si>
    <t>I3.2</t>
  </si>
  <si>
    <t>I3.3</t>
  </si>
  <si>
    <t>I3.4</t>
  </si>
  <si>
    <t>I3.5</t>
  </si>
  <si>
    <t>I3.6</t>
  </si>
  <si>
    <t>I3.7</t>
  </si>
  <si>
    <t>I4.0</t>
  </si>
  <si>
    <t>I4.1</t>
  </si>
  <si>
    <t>I4.2</t>
  </si>
  <si>
    <t>I4.3</t>
  </si>
  <si>
    <t>I4.4</t>
  </si>
  <si>
    <t>I4.5</t>
  </si>
  <si>
    <t>I4.6</t>
  </si>
  <si>
    <t>I4.7</t>
  </si>
  <si>
    <t>I5.0</t>
  </si>
  <si>
    <t>I5.1</t>
  </si>
  <si>
    <t>I5.2</t>
  </si>
  <si>
    <t>I5.3</t>
  </si>
  <si>
    <t>I5.4</t>
  </si>
  <si>
    <t>I5.5</t>
  </si>
  <si>
    <t>I5.6</t>
  </si>
  <si>
    <t>I5.7</t>
  </si>
  <si>
    <t>I6.0</t>
  </si>
  <si>
    <t>I6.1</t>
  </si>
  <si>
    <t>I6.2</t>
  </si>
  <si>
    <t>I6.3</t>
  </si>
  <si>
    <t>I6.4</t>
  </si>
  <si>
    <t>I6.5</t>
  </si>
  <si>
    <t>I6.6</t>
  </si>
  <si>
    <t>I6.7</t>
  </si>
  <si>
    <t>I7.0</t>
  </si>
  <si>
    <t>I7.1</t>
  </si>
  <si>
    <t>I7.2</t>
  </si>
  <si>
    <t>I7.3</t>
  </si>
  <si>
    <t>I7.4</t>
  </si>
  <si>
    <t>I7.5</t>
  </si>
  <si>
    <t>I7.6</t>
  </si>
  <si>
    <t>I7.7</t>
  </si>
  <si>
    <t>I8.0</t>
  </si>
  <si>
    <t>I8.1</t>
  </si>
  <si>
    <t>I8.2</t>
  </si>
  <si>
    <t>I8.3</t>
  </si>
  <si>
    <t>I8.4</t>
  </si>
  <si>
    <t>I8.5</t>
  </si>
  <si>
    <t>I8.6</t>
  </si>
  <si>
    <t>I8.7</t>
  </si>
  <si>
    <t>Q0.0</t>
  </si>
  <si>
    <t>Q0.1</t>
  </si>
  <si>
    <t>Q0.2</t>
  </si>
  <si>
    <t>Q0.3</t>
  </si>
  <si>
    <t>Q0.4</t>
  </si>
  <si>
    <t>Q0.5</t>
  </si>
  <si>
    <t>Q0.6</t>
  </si>
  <si>
    <t>Q0.7</t>
  </si>
  <si>
    <t>Q1.0</t>
  </si>
  <si>
    <t>Q1.1</t>
  </si>
  <si>
    <t>Q1.2</t>
  </si>
  <si>
    <t>Q1.3</t>
  </si>
  <si>
    <t>Q1.4</t>
  </si>
  <si>
    <t>Q1.5</t>
  </si>
  <si>
    <t>Q1.6</t>
  </si>
  <si>
    <t>Q1.7</t>
  </si>
  <si>
    <t>IW200</t>
  </si>
  <si>
    <t>IW202</t>
  </si>
  <si>
    <t>IW204</t>
  </si>
  <si>
    <t>IW206</t>
  </si>
  <si>
    <t>IW208</t>
  </si>
  <si>
    <t>IW210</t>
  </si>
  <si>
    <t>IW212</t>
  </si>
  <si>
    <t>IW214</t>
  </si>
  <si>
    <t>IW216</t>
  </si>
  <si>
    <t>IW218</t>
  </si>
  <si>
    <t>IW220</t>
  </si>
  <si>
    <t>IW222</t>
  </si>
  <si>
    <t>IW224</t>
  </si>
  <si>
    <t>IW226</t>
  </si>
  <si>
    <t>IW228</t>
  </si>
  <si>
    <t>IW230</t>
  </si>
  <si>
    <t>IW232</t>
  </si>
  <si>
    <t>IW234</t>
  </si>
  <si>
    <t>IW236</t>
  </si>
  <si>
    <t>IW238</t>
  </si>
  <si>
    <t>IW240</t>
  </si>
  <si>
    <t>IW242</t>
  </si>
  <si>
    <t>IW244</t>
  </si>
  <si>
    <t>IW246</t>
  </si>
  <si>
    <t>IW248</t>
  </si>
  <si>
    <t>IW250</t>
  </si>
  <si>
    <t>IW252</t>
  </si>
  <si>
    <t>IW254</t>
  </si>
  <si>
    <t>IW256</t>
  </si>
  <si>
    <t>IW258</t>
  </si>
  <si>
    <t>IW260</t>
  </si>
  <si>
    <t>IW262</t>
  </si>
  <si>
    <t>IW264</t>
  </si>
  <si>
    <t>IW266</t>
  </si>
  <si>
    <t>IW268</t>
  </si>
  <si>
    <t>IW270</t>
  </si>
  <si>
    <t>IW272</t>
  </si>
  <si>
    <t>IW274</t>
  </si>
  <si>
    <t>IW276</t>
  </si>
  <si>
    <t>IW278</t>
  </si>
  <si>
    <t>driveError</t>
  </si>
  <si>
    <t>feedback</t>
  </si>
  <si>
    <t>comError</t>
  </si>
  <si>
    <t>fbOpen</t>
  </si>
  <si>
    <t>fbClosed</t>
  </si>
  <si>
    <t>referenceRaw</t>
  </si>
  <si>
    <t>value</t>
  </si>
  <si>
    <t>trip</t>
  </si>
  <si>
    <t>local</t>
  </si>
  <si>
    <t>localStart</t>
  </si>
  <si>
    <t>openCommand</t>
  </si>
  <si>
    <t>AHU-0200-DPS-0001</t>
  </si>
  <si>
    <t>AHU-0200-DPS-0002</t>
  </si>
  <si>
    <t>AHU-0200-DPS-0003</t>
  </si>
  <si>
    <t>AHU-0200-LS-0001</t>
  </si>
  <si>
    <t>AHU-0200-MX-0001</t>
  </si>
  <si>
    <t>AHU-0200-TX-0001</t>
  </si>
  <si>
    <t>AHU-0200-DPS-0004</t>
  </si>
  <si>
    <t>AHU-0201-DPS-0003</t>
  </si>
  <si>
    <t>AHU-0201-DPS-0001</t>
  </si>
  <si>
    <t>AHU-0201-DPS-0002</t>
  </si>
  <si>
    <t>AHU-0201-PDSH-0001</t>
  </si>
  <si>
    <t>AHU-0201-PDSL-0001</t>
  </si>
  <si>
    <t>AHU-0201-LS-0001</t>
  </si>
  <si>
    <t>AHU-0201-TG-0001</t>
  </si>
  <si>
    <t>AHU-0202-DPS-0004</t>
  </si>
  <si>
    <t>AHU-0202-DPS-0003</t>
  </si>
  <si>
    <t>AHU-0202-DPS-0001</t>
  </si>
  <si>
    <t>AHU-0202-DPS-0002</t>
  </si>
  <si>
    <t>AHU-0202-PDSH-0001</t>
  </si>
  <si>
    <t>AHU-0202-PDSL-0001</t>
  </si>
  <si>
    <t>AHU-0202-TG-0001</t>
  </si>
  <si>
    <t>AHU-0203-DPS-0003</t>
  </si>
  <si>
    <t>AHU-0203-DPS-0002</t>
  </si>
  <si>
    <t>AHU-0203-DPS-0004</t>
  </si>
  <si>
    <t>AHU-0203-DPS-0001</t>
  </si>
  <si>
    <t>AHU-0203-PDSH-0001</t>
  </si>
  <si>
    <t>AHU-0203-PDSL-0001</t>
  </si>
  <si>
    <t>AHU-0203-LS-0001</t>
  </si>
  <si>
    <t>AHU-0203-TG-0001</t>
  </si>
  <si>
    <t>AHU-0203-TG-0002</t>
  </si>
  <si>
    <t>AHU-0204-DPS-0004</t>
  </si>
  <si>
    <t>AHU-0204-DPS-0003</t>
  </si>
  <si>
    <t>AHU-0204-DPS-0001</t>
  </si>
  <si>
    <t>AHU-0204-DPS-0002</t>
  </si>
  <si>
    <t>AHU-0204-PDSH-0001</t>
  </si>
  <si>
    <t>AHU-0204-PDSL-0001</t>
  </si>
  <si>
    <t>AHU-0204-TG-0001</t>
  </si>
  <si>
    <t>AHU-0205-DPS-0004</t>
  </si>
  <si>
    <t>AHU-0205-DPS-0003</t>
  </si>
  <si>
    <t>AHU-0205-DPS-0001</t>
  </si>
  <si>
    <t>AHU-0205-DPS-0002</t>
  </si>
  <si>
    <t>AHU-0205-PDSH-0001</t>
  </si>
  <si>
    <t>AHU-0205-PDSL-0001</t>
  </si>
  <si>
    <t>AHU-0205-LS-0001</t>
  </si>
  <si>
    <t>AHU-0205-TG-0001</t>
  </si>
  <si>
    <t>AHU-0206-DPS-0004</t>
  </si>
  <si>
    <t>AHU-0206-DPS-0003</t>
  </si>
  <si>
    <t>AHU-0206-DPS-0001</t>
  </si>
  <si>
    <t>AHU-0206-DPS-0002</t>
  </si>
  <si>
    <t>AHU-0206-PDSH-0001</t>
  </si>
  <si>
    <t>AHU-0206-PDSL-0001</t>
  </si>
  <si>
    <t>AHU-0206-TG-0001</t>
  </si>
  <si>
    <t>AHU-0207-DPS-0004</t>
  </si>
  <si>
    <t>AHU-0207-DPS-0003</t>
  </si>
  <si>
    <t>AHU-0207-DPS-0001</t>
  </si>
  <si>
    <t>AHU-0207-DPS-0002</t>
  </si>
  <si>
    <t>AHU-0207-PDSH-0001</t>
  </si>
  <si>
    <t>AHU-0207-LS-0001</t>
  </si>
  <si>
    <t>AHU-0207-PDSL-0001</t>
  </si>
  <si>
    <t>AHU-0207-TG-0001</t>
  </si>
  <si>
    <t>AHU-0208-DPS-0003</t>
  </si>
  <si>
    <t>AHU-0208-DPS-0005</t>
  </si>
  <si>
    <t>AHU-0208-DPS-0004</t>
  </si>
  <si>
    <t>AHU-0208-DPS-0001</t>
  </si>
  <si>
    <t>AHU-0208-DPS-0002</t>
  </si>
  <si>
    <t>AHU-0208-PDSH-0001</t>
  </si>
  <si>
    <t>AHU-0208-PDSL-0001</t>
  </si>
  <si>
    <t>AHU-0208-TG-0001</t>
  </si>
  <si>
    <t>AHU-0208-TG-0002</t>
  </si>
  <si>
    <t>AHU-0200-HS-BTNAHU-PHASE</t>
  </si>
  <si>
    <t>AHU-0200-HS-BTAHU-MICRO</t>
  </si>
  <si>
    <t>AHU-0200-HS-BTAHU-ES</t>
  </si>
  <si>
    <t>AHU-0200-FC-OK</t>
  </si>
  <si>
    <t>AHU-0201-HS-BTNAHU-PHASE</t>
  </si>
  <si>
    <t>AHU-0201-HS-BTAHU-MICRO</t>
  </si>
  <si>
    <t>AHU-0201-HS-BTAHU-ES</t>
  </si>
  <si>
    <t>AHU-0201-FC-OK</t>
  </si>
  <si>
    <t>AHU-0202-HS-BTNAHU-PHASE</t>
  </si>
  <si>
    <t>AHU-0202-HS-BTAHU-MICRO</t>
  </si>
  <si>
    <t>AHU-0202-HS-BTAHU-ES</t>
  </si>
  <si>
    <t>AHU-0202-FC-OK</t>
  </si>
  <si>
    <t>AHU-0203-HS-BTNAHU-PHASE</t>
  </si>
  <si>
    <t>AHU-0203-HS-BTAHU-MICRO</t>
  </si>
  <si>
    <t>AHU-0203-HS-BTAHU-ES</t>
  </si>
  <si>
    <t>AHU-0203-FC-OK</t>
  </si>
  <si>
    <t>AHU-0204-HS-BTNAHU-PHASE</t>
  </si>
  <si>
    <t>AHU-0204-HS-BTAHU-MICRO</t>
  </si>
  <si>
    <t>AHU-0204-HS-BTAHU-ES</t>
  </si>
  <si>
    <t>AHU-0204-FC-OK</t>
  </si>
  <si>
    <t>AHU-0205-HS-BTNAHU-PHASE</t>
  </si>
  <si>
    <t>AHU-0205-HS-BTAHU-MICRO</t>
  </si>
  <si>
    <t>AHU-0205-HS-BTAHU-ES</t>
  </si>
  <si>
    <t>AHU-0205-FC-OK</t>
  </si>
  <si>
    <t>AHU-0206-HS-BTNAHU-PHASE</t>
  </si>
  <si>
    <t>AHU-0206-HS-BTAHU-MICRO</t>
  </si>
  <si>
    <t>AHU-0206-HS-BTAHU-ES</t>
  </si>
  <si>
    <t>AHU-0206-FC-OK</t>
  </si>
  <si>
    <t>AHU-0207-HS-BTNAHU-PHASE</t>
  </si>
  <si>
    <t>AHU-0207-HS-BTAHU-MICRO</t>
  </si>
  <si>
    <t>AHU-0207-HS-BTAHU-ES</t>
  </si>
  <si>
    <t>AHU-0207-FC-OK</t>
  </si>
  <si>
    <t>AHU-0208-HS-BTNAHU-PHASE</t>
  </si>
  <si>
    <t>AHU-0208-HS-BTAHU-MICRO</t>
  </si>
  <si>
    <t>AHU-0208-HS-BTAHU-ES</t>
  </si>
  <si>
    <t>AHU-0208-FC-OK</t>
  </si>
  <si>
    <t>BU-HW-HS-BTNAHU-PHASE</t>
  </si>
  <si>
    <t>BU-HW-HS-BTAHU-MICRO</t>
  </si>
  <si>
    <t>BU-HW-HS-BTAHU-ES</t>
  </si>
  <si>
    <t>BU-HW-FC-OK</t>
  </si>
  <si>
    <t>BU-CW-HS-BTNAHU-PHASE</t>
  </si>
  <si>
    <t>BU-CW-HS-BTAHU-MICRO</t>
  </si>
  <si>
    <t>BU-CW-HS-BTAHU-ES</t>
  </si>
  <si>
    <t>BU-CW-FC-OK</t>
  </si>
  <si>
    <t>pulse</t>
  </si>
  <si>
    <t>MICRO</t>
  </si>
  <si>
    <t>Column6</t>
  </si>
  <si>
    <t>Column7</t>
  </si>
  <si>
    <t>Column8</t>
  </si>
  <si>
    <t>DEVICE</t>
  </si>
  <si>
    <t>SYSTEM</t>
  </si>
  <si>
    <t xml:space="preserve">TAG </t>
  </si>
  <si>
    <t>LOCATION</t>
  </si>
  <si>
    <t>MANUFACTURER</t>
  </si>
  <si>
    <t>MODEL</t>
  </si>
  <si>
    <t>DESCRIPTION</t>
  </si>
  <si>
    <t>NOTES</t>
  </si>
  <si>
    <t>COMBINED TEMPERATURE AND HUMIDITY TRANSMITTER</t>
  </si>
  <si>
    <t>Combined Temperature and Humidity transmitter</t>
  </si>
  <si>
    <t>MU01A</t>
  </si>
  <si>
    <t>SIEMENS</t>
  </si>
  <si>
    <t xml:space="preserve">QFM3171 </t>
  </si>
  <si>
    <t>main supply duct</t>
  </si>
  <si>
    <t>MU01B</t>
  </si>
  <si>
    <t>TEMPERATURE TRANSMITTER</t>
  </si>
  <si>
    <t>Temperature transmitter</t>
  </si>
  <si>
    <t>QAM2171.040</t>
  </si>
  <si>
    <t>0…50 C, 4…20 mA, probe length 0.4m, no display</t>
  </si>
  <si>
    <t>EU01A</t>
  </si>
  <si>
    <t>EU01B</t>
  </si>
  <si>
    <t>PRESSURE TRANSMITTER</t>
  </si>
  <si>
    <t>Pressure transmitter</t>
  </si>
  <si>
    <t>supply fan</t>
  </si>
  <si>
    <t>QBM3120-25D</t>
  </si>
  <si>
    <t>0…+2500Pa (standard range), 4..20 mA, high quality, with display</t>
  </si>
  <si>
    <t>QBM3120-10 + FK-PZ3</t>
  </si>
  <si>
    <t>0…+1000Pa (standard range), 4..20 mA, high quality, no display, air duct probe</t>
  </si>
  <si>
    <t>exhaust fan</t>
  </si>
  <si>
    <t>PRESSURE DIFFERENTIAL SENSOR</t>
  </si>
  <si>
    <t>Pressure Differential sensor</t>
  </si>
  <si>
    <t>QBM81-3</t>
  </si>
  <si>
    <t>20..300Pa, AC/DC 24 V, IP54</t>
  </si>
  <si>
    <t>QBM81-10</t>
  </si>
  <si>
    <t>100..1000Pa, AC/DC 24 V, IP54</t>
  </si>
  <si>
    <t>LIQUID SENSOR</t>
  </si>
  <si>
    <t>Liquid sensor</t>
  </si>
  <si>
    <t>AHU retention tray</t>
  </si>
  <si>
    <t>Thermokon Sensortechnik</t>
  </si>
  <si>
    <t>LS02+</t>
  </si>
  <si>
    <t>Leakage sensor with relay output, IP65, 24V, Included sensor and evaluation electronics with pilot LED and relay contact</t>
  </si>
  <si>
    <t>FANS</t>
  </si>
  <si>
    <t>Supply fan</t>
  </si>
  <si>
    <t>supply AHU</t>
  </si>
  <si>
    <t>ZIEHL ABEGG</t>
  </si>
  <si>
    <t>refer to technical card</t>
  </si>
  <si>
    <t xml:space="preserve">Exhaust fan </t>
  </si>
  <si>
    <t>FREQUENCY REGULATOR</t>
  </si>
  <si>
    <t>Frequency regulator</t>
  </si>
  <si>
    <t>Integrated in motor</t>
  </si>
  <si>
    <t>N/A</t>
  </si>
  <si>
    <t>REGULATING DAMPER WITH ACTUATOR</t>
  </si>
  <si>
    <t>Regulating damper with actuator</t>
  </si>
  <si>
    <t>ENGINIA/BELIMO</t>
  </si>
  <si>
    <t>FILTERS</t>
  </si>
  <si>
    <t>Filters</t>
  </si>
  <si>
    <t>Camfil</t>
  </si>
  <si>
    <t>AHU</t>
  </si>
  <si>
    <t>TPS</t>
  </si>
  <si>
    <t>TBD</t>
  </si>
  <si>
    <t>HEATING COILS</t>
  </si>
  <si>
    <t>Heating coil</t>
  </si>
  <si>
    <t>COOLING COILS</t>
  </si>
  <si>
    <t>Cooling coil</t>
  </si>
  <si>
    <t>SPARE-AI-0</t>
  </si>
  <si>
    <t>SPARE-DI-0</t>
  </si>
  <si>
    <t>CIRCULATION PUMP</t>
  </si>
  <si>
    <t>Circulation pump</t>
  </si>
  <si>
    <t>P-HW-101</t>
  </si>
  <si>
    <t>preheating coil</t>
  </si>
  <si>
    <t>P-HW-102</t>
  </si>
  <si>
    <t>recuperating coil</t>
  </si>
  <si>
    <t>SU10</t>
  </si>
  <si>
    <t>MU02A</t>
  </si>
  <si>
    <t>MU02B</t>
  </si>
  <si>
    <t>EU02A</t>
  </si>
  <si>
    <t>EU02B</t>
  </si>
  <si>
    <t>MU03</t>
  </si>
  <si>
    <t>IMMERSION TEMPERATURE SENSOR</t>
  </si>
  <si>
    <t>Immersion Temperature sensor</t>
  </si>
  <si>
    <t>supply pipe recuperating coil</t>
  </si>
  <si>
    <t>return pipe recuperating coil</t>
  </si>
  <si>
    <t>EU03</t>
  </si>
  <si>
    <t>LOW PRESSURE SWITCH</t>
  </si>
  <si>
    <t>Low pressure switch</t>
  </si>
  <si>
    <t>COMBINED BALANCING &amp; CONTROL VALVE</t>
  </si>
  <si>
    <t>Combined balancing and control valve</t>
  </si>
  <si>
    <t>PICV-CLW-103</t>
  </si>
  <si>
    <t>return pipe cooling coil</t>
  </si>
  <si>
    <t>PICV-HW-101</t>
  </si>
  <si>
    <t>return pipe reheating coil</t>
  </si>
  <si>
    <t>PICV-HW-105</t>
  </si>
  <si>
    <t>return pipe preheating coil</t>
  </si>
  <si>
    <t>PICV-CLW-104</t>
  </si>
  <si>
    <t>PICV-HW-102</t>
  </si>
  <si>
    <t>PICV-HW-106</t>
  </si>
  <si>
    <t>PICV-CLW-111</t>
  </si>
  <si>
    <t>PICV-HW-107</t>
  </si>
  <si>
    <t>PICV-HW-109</t>
  </si>
  <si>
    <t>PICV-CLW-112</t>
  </si>
  <si>
    <t>PICV-HW-108</t>
  </si>
  <si>
    <t>PICV-HW-110</t>
  </si>
  <si>
    <t>PICV-CLW-117</t>
  </si>
  <si>
    <t>PICV-HW-113</t>
  </si>
  <si>
    <t>PICV-HW-115</t>
  </si>
  <si>
    <t>PICV-CLW-009</t>
  </si>
  <si>
    <t>PICV-HW-001</t>
  </si>
  <si>
    <t>return pipe heating coil</t>
  </si>
  <si>
    <t>PICV-CLW-006</t>
  </si>
  <si>
    <t>PICV-CLW-001</t>
  </si>
  <si>
    <t>return pipe cooling coil FFU 02-0-0103</t>
  </si>
  <si>
    <t>PICV-CLW-002</t>
  </si>
  <si>
    <t>return pipe cooling coil FFU 02-0-0104</t>
  </si>
  <si>
    <t>PICV-CLW-003</t>
  </si>
  <si>
    <t>return pipe cooling coil CC 02-0-0106</t>
  </si>
  <si>
    <t>PICV-CLW-004</t>
  </si>
  <si>
    <t>return pipe cooling coil CC 02-0-0107</t>
  </si>
  <si>
    <t>PICV-CLW-007</t>
  </si>
  <si>
    <t>return pipe cooling coil CC 02-0-0108</t>
  </si>
  <si>
    <t>PICV-CLW-008</t>
  </si>
  <si>
    <t>return pipe cooling coil CC 02-0-0109</t>
  </si>
  <si>
    <t>PICV-CLW-010</t>
  </si>
  <si>
    <t>return pipe cooling coil CC 02-0-0110</t>
  </si>
  <si>
    <t>PICV-CLW-005</t>
  </si>
  <si>
    <t>return pipe cooling coil CC 02-0-0111</t>
  </si>
  <si>
    <t>PICV-CLW-011</t>
  </si>
  <si>
    <t>return pipe cooling coil FFU 02-0-0115</t>
  </si>
  <si>
    <t>SU02</t>
  </si>
  <si>
    <t>PICV-CLW-020</t>
  </si>
  <si>
    <t>PICV-HW-002</t>
  </si>
  <si>
    <t>SU02B</t>
  </si>
  <si>
    <t>PICV-CLW-017</t>
  </si>
  <si>
    <t>PICV-CLW-012</t>
  </si>
  <si>
    <t>return pipe cooling coil FFU 02-0-0203</t>
  </si>
  <si>
    <t>PICV-CLW-013</t>
  </si>
  <si>
    <t>return pipe cooling coil FFU 02-0-0204</t>
  </si>
  <si>
    <t>PICV-CLW-014</t>
  </si>
  <si>
    <t>return pipe cooling coil CC 02-0-0206</t>
  </si>
  <si>
    <t>PICV-CLW-015</t>
  </si>
  <si>
    <t>return pipe cooling coil CC 02-0-0207</t>
  </si>
  <si>
    <t>PICV-CLW-018</t>
  </si>
  <si>
    <t>return pipe cooling coil CC 02-0-0208</t>
  </si>
  <si>
    <t>PICV-CLW-019</t>
  </si>
  <si>
    <t>return pipe cooling coil CC 02-0-0209</t>
  </si>
  <si>
    <t>PICV-CLW-021</t>
  </si>
  <si>
    <t>return pipe cooling coil CC 02-0-0210</t>
  </si>
  <si>
    <t>PICV-CLW-016</t>
  </si>
  <si>
    <t>return pipe cooling coil CC 02-0-0211</t>
  </si>
  <si>
    <t>PICV-CLW-022</t>
  </si>
  <si>
    <t>return pipe cooling coil FFU 02-0-0215</t>
  </si>
  <si>
    <t>SU03</t>
  </si>
  <si>
    <t>PICV-CLW-031</t>
  </si>
  <si>
    <t>PICV-HW-003</t>
  </si>
  <si>
    <t>SU03B</t>
  </si>
  <si>
    <t>PICV-CLW-029</t>
  </si>
  <si>
    <t>PICV-CLW-023</t>
  </si>
  <si>
    <t>return pipe cooling coil FFU 02-0-0303</t>
  </si>
  <si>
    <t>PICV-CLW-024</t>
  </si>
  <si>
    <t>return pipe cooling coil FFU 02-0-0304</t>
  </si>
  <si>
    <t>PICV-CLW-025</t>
  </si>
  <si>
    <t>return pipe cooling coil CC 02-0-0306</t>
  </si>
  <si>
    <t>PICV-CLW-026</t>
  </si>
  <si>
    <t>return pipe cooling coil CC 02-0-0307</t>
  </si>
  <si>
    <t>PICV-CLW-028</t>
  </si>
  <si>
    <t>return pipe cooling coil CC 02-0-0308</t>
  </si>
  <si>
    <t>PICV-CLW-032</t>
  </si>
  <si>
    <t>return pipe cooling coil CC 02-0-0309</t>
  </si>
  <si>
    <t>PICV-CLW-033</t>
  </si>
  <si>
    <t>return pipe cooling coil CC 02-0-0310</t>
  </si>
  <si>
    <t>PICV-CLW-027</t>
  </si>
  <si>
    <t>return pipe cooling coil CC 02-0-0311</t>
  </si>
  <si>
    <t>PICV-CLW-030</t>
  </si>
  <si>
    <t>return pipe cooling coil FFU 02-0-0315</t>
  </si>
  <si>
    <t>SU04</t>
  </si>
  <si>
    <t>PICV-CLW-035</t>
  </si>
  <si>
    <t>PICV-HW-004</t>
  </si>
  <si>
    <t>PICV-CLW-034</t>
  </si>
  <si>
    <t>return pipe cooling coil FFU 02-0-0401</t>
  </si>
  <si>
    <t>PICV-CLW-036</t>
  </si>
  <si>
    <t>return pipe cooling coil CC 02-0-0404</t>
  </si>
  <si>
    <t>PICV-CLW-037</t>
  </si>
  <si>
    <t>return pipe cooling coil FFU 02-0-0405</t>
  </si>
  <si>
    <t>SU05</t>
  </si>
  <si>
    <t>PICV-CLW-039</t>
  </si>
  <si>
    <t>PICV-HW-005</t>
  </si>
  <si>
    <t>PICV-CLW-038</t>
  </si>
  <si>
    <t>return pipe cooling coil FFU 02-0-0501</t>
  </si>
  <si>
    <t>PICV-CLW-040</t>
  </si>
  <si>
    <t>return pipe cooling coil CC 02-0-0504</t>
  </si>
  <si>
    <t>PICV-CLW-041</t>
  </si>
  <si>
    <t>return pipe cooling coil FFU 02-0-0505</t>
  </si>
  <si>
    <t>SU06</t>
  </si>
  <si>
    <t>PICV-CLW-043</t>
  </si>
  <si>
    <t>PICV-HW-006</t>
  </si>
  <si>
    <t>PICV-CLW-042</t>
  </si>
  <si>
    <t>return pipe cooling coil FFU 02-0-0601</t>
  </si>
  <si>
    <t>PICV-CLW-044</t>
  </si>
  <si>
    <t>return pipe cooling coil CC 02-0-0604</t>
  </si>
  <si>
    <t>PICV-CLW-045</t>
  </si>
  <si>
    <t>return pipe cooling coil FFU 02-0-0605</t>
  </si>
  <si>
    <t>SU07</t>
  </si>
  <si>
    <t>PICV-CLW-048</t>
  </si>
  <si>
    <t>PICV-HW-007</t>
  </si>
  <si>
    <t>PICV-CLW-046</t>
  </si>
  <si>
    <t>return pipe cooling coil FFU 02-0-0701</t>
  </si>
  <si>
    <t>PICV-CLW-049</t>
  </si>
  <si>
    <t>return pipe cooling coil CC 02-0-0704</t>
  </si>
  <si>
    <t>PICV-CLW-047</t>
  </si>
  <si>
    <t>return pipe cooling coil FFU 02-0-0705</t>
  </si>
  <si>
    <t>SU08</t>
  </si>
  <si>
    <t>PICV-CLW-051</t>
  </si>
  <si>
    <t>PICV-HW-008</t>
  </si>
  <si>
    <t>SU09</t>
  </si>
  <si>
    <t>PICV-CLW-052</t>
  </si>
  <si>
    <t>PICV-HW-009</t>
  </si>
  <si>
    <t>PICV-CLW-050</t>
  </si>
  <si>
    <t>return pipe cooling coil CC 02-0-0901</t>
  </si>
  <si>
    <t>PICV-CLW-079</t>
  </si>
  <si>
    <t>PICV-HW-010</t>
  </si>
  <si>
    <t>PICV-HW-030</t>
  </si>
  <si>
    <t>SU11</t>
  </si>
  <si>
    <t>PICV-HW-011</t>
  </si>
  <si>
    <t>PICV-CLW-064</t>
  </si>
  <si>
    <t>PICV-CLW-063</t>
  </si>
  <si>
    <t>return pipe cooling coil CC-01103</t>
  </si>
  <si>
    <t>PICV-CLW-062</t>
  </si>
  <si>
    <t>return pipe cooling coil CC-FU-01104</t>
  </si>
  <si>
    <t>SU12</t>
  </si>
  <si>
    <t>PICV-HW-012</t>
  </si>
  <si>
    <t>PICV-CLW-061</t>
  </si>
  <si>
    <t>PICV-CLW-060</t>
  </si>
  <si>
    <t>return pipe cooling coil CC-01203</t>
  </si>
  <si>
    <t>PICV-CLW-059</t>
  </si>
  <si>
    <t>return pipe cooling coil CC-FU-01204</t>
  </si>
  <si>
    <t>SU13</t>
  </si>
  <si>
    <t>PICV-HW-013</t>
  </si>
  <si>
    <t>PICV-CLW-058</t>
  </si>
  <si>
    <t>PICV-CLW-057</t>
  </si>
  <si>
    <t>return pipe cooling coil CC-01303</t>
  </si>
  <si>
    <t>PICV-CLW-056</t>
  </si>
  <si>
    <t>return pipe cooling coil CC-FU-01304</t>
  </si>
  <si>
    <t>SU14</t>
  </si>
  <si>
    <t>PICV-HW-014</t>
  </si>
  <si>
    <t>PICV-CLW-055</t>
  </si>
  <si>
    <t>PICV-CLW-054</t>
  </si>
  <si>
    <t>return pipe cooling coil CC-01403</t>
  </si>
  <si>
    <t>PICV-CLW-053</t>
  </si>
  <si>
    <t>return pipe cooling coil CC-FU-01404</t>
  </si>
  <si>
    <t>SU15</t>
  </si>
  <si>
    <t>PICV-HW-015</t>
  </si>
  <si>
    <t>PICV-CLW-067</t>
  </si>
  <si>
    <t>PICV-CLW-066</t>
  </si>
  <si>
    <t>return pipe cooling coil CC-01503</t>
  </si>
  <si>
    <t>PICV-CLW-065</t>
  </si>
  <si>
    <t>return pipe cooling coil CC-FU-01504</t>
  </si>
  <si>
    <t>SU16</t>
  </si>
  <si>
    <t>PICV-HW-016</t>
  </si>
  <si>
    <t>PICV-CLW-077</t>
  </si>
  <si>
    <t>EU16B</t>
  </si>
  <si>
    <t>PICV-CLW-078</t>
  </si>
  <si>
    <t>return pipe cooling coil CC-01606</t>
  </si>
  <si>
    <t>SU17</t>
  </si>
  <si>
    <t>PICV-HW-017</t>
  </si>
  <si>
    <t>return pipe heating coil AHU</t>
  </si>
  <si>
    <t>PICV-CLW-070</t>
  </si>
  <si>
    <t>return pipe cooling coil AHU</t>
  </si>
  <si>
    <t>SU18</t>
  </si>
  <si>
    <t>PICV-HW-018</t>
  </si>
  <si>
    <t>PICV-CLW-086</t>
  </si>
  <si>
    <t>return pipe heating coil FC-01801-001</t>
  </si>
  <si>
    <t>return pipe cooling coil FC-01801-001</t>
  </si>
  <si>
    <t>return pipe heating coil FC-01801-002</t>
  </si>
  <si>
    <t>return pipe cooling coil FC-01801-002</t>
  </si>
  <si>
    <t>return pipe heating coil FC-01801-003</t>
  </si>
  <si>
    <t>return pipe cooling coil FC-01801-003</t>
  </si>
  <si>
    <t>PICV-CLW-087</t>
  </si>
  <si>
    <t>return pipe cooling coil CC-01802</t>
  </si>
  <si>
    <t>PICV-CLW-088</t>
  </si>
  <si>
    <t>return pipe cooling coil CC-01803</t>
  </si>
  <si>
    <t>PICV-CLW-089</t>
  </si>
  <si>
    <t>return pipe cooling coil CC-01804</t>
  </si>
  <si>
    <t>return pipe heating coil FC-01806-001</t>
  </si>
  <si>
    <t>return pipe cooling coil FC-01806-001</t>
  </si>
  <si>
    <t>return pipe cooling coil FC-01807-001</t>
  </si>
  <si>
    <t>PICV-CLW-090</t>
  </si>
  <si>
    <t>return pipe cooling coil CC-01808</t>
  </si>
  <si>
    <t>return pipe cooling coil FC-01810-001</t>
  </si>
  <si>
    <t>PICV-CLW-092</t>
  </si>
  <si>
    <t>return pipe cooling coil CC-01812</t>
  </si>
  <si>
    <t>return pipe cooling coil FC-01817-001</t>
  </si>
  <si>
    <t>return pipe cooling coil FC-01818-001</t>
  </si>
  <si>
    <t>SU19</t>
  </si>
  <si>
    <t>PICV-HW-019</t>
  </si>
  <si>
    <t>PICV-CLW-080</t>
  </si>
  <si>
    <t>PICV-CLW-081</t>
  </si>
  <si>
    <t>return pipe cooling coil CC-01903</t>
  </si>
  <si>
    <t>SU20</t>
  </si>
  <si>
    <t>PICV-HW-020</t>
  </si>
  <si>
    <t>PICV-CLW-082</t>
  </si>
  <si>
    <t>PICV-CLW-083</t>
  </si>
  <si>
    <t>return pipe cooling coil CC-02004</t>
  </si>
  <si>
    <t>PICV-CLW-084</t>
  </si>
  <si>
    <t>return pipe cooling coil CC-02005</t>
  </si>
  <si>
    <t>PICV-CLW-085</t>
  </si>
  <si>
    <t>return pipe cooling coil CC-02006</t>
  </si>
  <si>
    <t>SU21</t>
  </si>
  <si>
    <t>PICV-HW-021</t>
  </si>
  <si>
    <t>PICV-CLW-068</t>
  </si>
  <si>
    <t>PICV-CLW-069</t>
  </si>
  <si>
    <t>return pipe cooling coil CC-02102</t>
  </si>
  <si>
    <t>SU22</t>
  </si>
  <si>
    <t>PICV-HW-022</t>
  </si>
  <si>
    <t>PICV-CLW-073</t>
  </si>
  <si>
    <t>PICV-CLW-074</t>
  </si>
  <si>
    <t>return pipe cooling coil CC-02201</t>
  </si>
  <si>
    <t>PICV-CLW-075</t>
  </si>
  <si>
    <t>return pipe cooling coil CC-02208</t>
  </si>
  <si>
    <t>PICV-CLW-076</t>
  </si>
  <si>
    <t>return pipe cooling coil CC-02209</t>
  </si>
  <si>
    <t>SU23</t>
  </si>
  <si>
    <t>PICV-HW-023</t>
  </si>
  <si>
    <t>PICV-CLW-071</t>
  </si>
  <si>
    <t>PICV-CLW-072</t>
  </si>
  <si>
    <t>return pipe cooling coil CC-02302</t>
  </si>
  <si>
    <t>3-WAY CONTROL VALVE with ACTUATOR</t>
  </si>
  <si>
    <t>3 way control valve with actuator</t>
  </si>
  <si>
    <t>3WV-GYW-103</t>
  </si>
  <si>
    <t>3WV-GYW-104</t>
  </si>
  <si>
    <t>3WV-HC1-SU10-001</t>
  </si>
  <si>
    <t>SPARE-ModValve-0</t>
  </si>
  <si>
    <t>SPARE-OnOffMotor-0</t>
  </si>
  <si>
    <t>SPARE-OnOffValve-0</t>
  </si>
  <si>
    <t>CodeMux</t>
  </si>
  <si>
    <t>MotorModulatingProcess</t>
  </si>
  <si>
    <t>ValveOnOff</t>
  </si>
  <si>
    <t>HMI</t>
  </si>
  <si>
    <t>HMI_1</t>
  </si>
  <si>
    <t>ObjValveModulating.InOut[1]</t>
  </si>
  <si>
    <t>ObjValveModulating.InOut[2]</t>
  </si>
  <si>
    <t>ObjValveModulating.InOut[3]</t>
  </si>
  <si>
    <t>ObjValveModulating.InOut[4]</t>
  </si>
  <si>
    <t>ObjAnalogueMeasure.InOut[1]</t>
  </si>
  <si>
    <t>ObjAnalogueMeasure.InOut[2]</t>
  </si>
  <si>
    <t>ObjAnalogueMeasure.InOut[3]</t>
  </si>
  <si>
    <t>ObjAnalogueMeasure.InOut[4]</t>
  </si>
  <si>
    <t>ObjAnalogueMeasure.InOut[5]</t>
  </si>
  <si>
    <t>ObjAnalogueMeasure.InOut[6]</t>
  </si>
  <si>
    <t>ObjAnalogueMeasure.InOut[7]</t>
  </si>
  <si>
    <t>ObjAnalogueMeasure.InOut[8]</t>
  </si>
  <si>
    <t>ObjAnalogueMeasure.InOut[9]</t>
  </si>
  <si>
    <t>ObjAnalogueMeasure.InOut[10]</t>
  </si>
  <si>
    <t>ObjAnalogueMeasure.InOut[11]</t>
  </si>
  <si>
    <t>ObjMotorModulating.InOut[1]</t>
  </si>
  <si>
    <t>ObjMotorModulating.InOut[2]</t>
  </si>
  <si>
    <t>ObjMotorModulating.InOut[3]</t>
  </si>
  <si>
    <t>ObjMotorModulating.InOut[4]</t>
  </si>
  <si>
    <t>ObjDigitalInput.InOut[1]</t>
  </si>
  <si>
    <t>ObjDigitalInput.InOut[2]</t>
  </si>
  <si>
    <t>ObjDigitalInput.InOut[3]</t>
  </si>
  <si>
    <t>ObjDigitalInput.InOut[4]</t>
  </si>
  <si>
    <t>ObjDigitalInput.InOut[5]</t>
  </si>
  <si>
    <t>ObjDigitalInput.InOut[6]</t>
  </si>
  <si>
    <t>ObjDigitalInput.InOut[7]</t>
  </si>
  <si>
    <t>TagTable</t>
  </si>
  <si>
    <t>Name</t>
  </si>
  <si>
    <t>TextList</t>
  </si>
  <si>
    <t xml:space="preserve">#$TAG$(Object := "$SYS$".$TAG$,
                InOut := "$OBJ$".InOut[#_$TAG$],
                Parameters:="$OBJ$".Parameters[#_$TAG$]);
</t>
  </si>
  <si>
    <t xml:space="preserve">#$TAG$(Object := "$SYS$".$TAG$,
                InOut := "$OBJ$".InOut[#_$TAG$],
                Parameters:="$OBJ$".Parameters[#_$TAG$],
                Statistics:="$OBJ$".Statistic[#_$TAG$]);
</t>
  </si>
  <si>
    <t>MTT-00111-001</t>
  </si>
  <si>
    <t>return duct</t>
  </si>
  <si>
    <t>0…+50 °C , 0…100 %, 4…20mA, no display, duct installation</t>
  </si>
  <si>
    <t>MTT-00112-001</t>
  </si>
  <si>
    <t>main return duct</t>
  </si>
  <si>
    <t>mixing section AHU</t>
  </si>
  <si>
    <t>TT-00103-001</t>
  </si>
  <si>
    <t>TT-00104-001</t>
  </si>
  <si>
    <t>TT-00106-001</t>
  </si>
  <si>
    <t>supply duct</t>
  </si>
  <si>
    <t>TT-00106-002</t>
  </si>
  <si>
    <t>TT-00107-001</t>
  </si>
  <si>
    <t>TT-00107-002</t>
  </si>
  <si>
    <t>TT-00108-001</t>
  </si>
  <si>
    <t>TT-00108-002</t>
  </si>
  <si>
    <t>TT-00109-001</t>
  </si>
  <si>
    <t>TT-00109-002</t>
  </si>
  <si>
    <t>TT-00110-001</t>
  </si>
  <si>
    <t>TT-00110-002</t>
  </si>
  <si>
    <t>TT-00111-001</t>
  </si>
  <si>
    <t>TT-00115-001</t>
  </si>
  <si>
    <t>PT-SF1-SU1-001</t>
  </si>
  <si>
    <t>PT-SF2-SU1-001</t>
  </si>
  <si>
    <t>PT-SU1-001</t>
  </si>
  <si>
    <t>PT-SU1-002</t>
  </si>
  <si>
    <t>PT-EF1-SU1-001</t>
  </si>
  <si>
    <t>PT-EF2-SU1-001</t>
  </si>
  <si>
    <t>PT-SF1-SU1B-001</t>
  </si>
  <si>
    <t>PT-SU1B-001</t>
  </si>
  <si>
    <t>PT-SU1B-002</t>
  </si>
  <si>
    <t>PT-EF1-SU1B-001</t>
  </si>
  <si>
    <t>PT-F2-SU1-001</t>
  </si>
  <si>
    <t>exhaust filter unit</t>
  </si>
  <si>
    <t>PT-F2-SU1B-001</t>
  </si>
  <si>
    <t>PT-FU-00103</t>
  </si>
  <si>
    <t>QBM3120-10D</t>
  </si>
  <si>
    <t>0…+1000Pa (standard range), 4..20 mA, high quality, with display</t>
  </si>
  <si>
    <t>PT-FU-00104</t>
  </si>
  <si>
    <t>PT-FU-00115</t>
  </si>
  <si>
    <t>PDT-00101-001</t>
  </si>
  <si>
    <t>room pressure panel</t>
  </si>
  <si>
    <t>QBM3120-1D</t>
  </si>
  <si>
    <t>0…+100Pa (standard range), 4..20 mA, high quality, with display</t>
  </si>
  <si>
    <t>PDT-00102-001</t>
  </si>
  <si>
    <t>PDT-00103-001</t>
  </si>
  <si>
    <t>PDT-00104-001</t>
  </si>
  <si>
    <t>PDT-00105-001</t>
  </si>
  <si>
    <t>PDT-00106-001</t>
  </si>
  <si>
    <t>PT-00106-001</t>
  </si>
  <si>
    <t>terminal filter reference</t>
  </si>
  <si>
    <t>QBM3120-10</t>
  </si>
  <si>
    <t>0…+1000Pa (standard range), 4..20 mA, high quality, no display</t>
  </si>
  <si>
    <t>PDT-00111-001</t>
  </si>
  <si>
    <t>PDT-00112-001</t>
  </si>
  <si>
    <t>PDT-00113-001</t>
  </si>
  <si>
    <t>PDT-00114-001</t>
  </si>
  <si>
    <t>PDT-00115-001</t>
  </si>
  <si>
    <t>PDT-00116-001</t>
  </si>
  <si>
    <t>PDS-F1-SU1-001</t>
  </si>
  <si>
    <t>AHU filter E11</t>
  </si>
  <si>
    <t>PSH-SU1-001</t>
  </si>
  <si>
    <t>PDS-F1-SU1B-001</t>
  </si>
  <si>
    <t>PSH-SU1B-001</t>
  </si>
  <si>
    <t>PSH-00116-001</t>
  </si>
  <si>
    <t>PSL-00116-001</t>
  </si>
  <si>
    <t>PSH-00112-001</t>
  </si>
  <si>
    <t>PSL-00112-001</t>
  </si>
  <si>
    <t>LS-SU1-001</t>
  </si>
  <si>
    <t>LS-CC-00103</t>
  </si>
  <si>
    <t>fan unit 00103 retention tray</t>
  </si>
  <si>
    <t>LS-CC-00104</t>
  </si>
  <si>
    <t>LS-CC-00115</t>
  </si>
  <si>
    <t>LS-CC-00106</t>
  </si>
  <si>
    <t>local cooling 00106 retention tray</t>
  </si>
  <si>
    <t>LS-CC-00107</t>
  </si>
  <si>
    <t>local cooling 00107 retention tray</t>
  </si>
  <si>
    <t>LS-CC-00108</t>
  </si>
  <si>
    <t>local cooling 00108 retention tray</t>
  </si>
  <si>
    <t>LS-CC-00109</t>
  </si>
  <si>
    <t>local cooling 00109 retention tray</t>
  </si>
  <si>
    <t>LS-CC-00110</t>
  </si>
  <si>
    <t>local cooling 00110 retention tray</t>
  </si>
  <si>
    <t>LS-CC-00111</t>
  </si>
  <si>
    <t>local cooling 00111 retention tray</t>
  </si>
  <si>
    <t>SF1-SU1</t>
  </si>
  <si>
    <t>GR56C-ZID.GQ.CR</t>
  </si>
  <si>
    <t>SF2-SU1</t>
  </si>
  <si>
    <t>EF1-SU1</t>
  </si>
  <si>
    <t>exhaust AHU</t>
  </si>
  <si>
    <t>GR56C-ZID.GL.CR</t>
  </si>
  <si>
    <t>EF2-SU1</t>
  </si>
  <si>
    <t>SF1-SU1B</t>
  </si>
  <si>
    <t>GR35C-ZID.DC.CR</t>
  </si>
  <si>
    <t>EF1-SU1B</t>
  </si>
  <si>
    <t>FU-00103</t>
  </si>
  <si>
    <t>fan unit 00103</t>
  </si>
  <si>
    <t>GR28I-6ID.BD.CR</t>
  </si>
  <si>
    <t>FU-00104</t>
  </si>
  <si>
    <t>fan unit 00104</t>
  </si>
  <si>
    <t>FU-00115</t>
  </si>
  <si>
    <t>fan unit 00115</t>
  </si>
  <si>
    <t>VFD-SF1-SU1-001</t>
  </si>
  <si>
    <t>VFD-SF2-SU1-001</t>
  </si>
  <si>
    <t>VFD-EF1-SU1-001</t>
  </si>
  <si>
    <t>VFD-EF2-SU1-001</t>
  </si>
  <si>
    <t>VFD-SF1-SU1B-001</t>
  </si>
  <si>
    <t>VFD-EF1-SU1B-001</t>
  </si>
  <si>
    <t>VFD-FU-00103</t>
  </si>
  <si>
    <t>VFD-FU-00104</t>
  </si>
  <si>
    <t>VFD-FU-00115</t>
  </si>
  <si>
    <t>SOUND ATTENUATOR</t>
  </si>
  <si>
    <t>CAV REGULATOR</t>
  </si>
  <si>
    <t>CAV regulator</t>
  </si>
  <si>
    <t>CAV-SU1-001</t>
  </si>
  <si>
    <t>fresh air duct</t>
  </si>
  <si>
    <t xml:space="preserve">TROX </t>
  </si>
  <si>
    <t>TVJ/1000x400/BM0</t>
  </si>
  <si>
    <t>control: 0…10 VDC, feedback, rectangular, casing made of galvanised sheet steel,, casing air leakage to EN1751, classB, ModBUS RTU</t>
  </si>
  <si>
    <t>CAV-SU1-002</t>
  </si>
  <si>
    <t>TVJ/300x300/BM0</t>
  </si>
  <si>
    <t>CAV-SU1-003</t>
  </si>
  <si>
    <t>exhaust air duct</t>
  </si>
  <si>
    <t>CAV-SU1-004</t>
  </si>
  <si>
    <t>CAV-SU1B-001</t>
  </si>
  <si>
    <t>TVJ/300x200/BM0</t>
  </si>
  <si>
    <t>CAV-SU1B-002</t>
  </si>
  <si>
    <t>TVR-D2/Ø125/BM0</t>
  </si>
  <si>
    <t>CAV-SU1B-003</t>
  </si>
  <si>
    <t>CAV-SU1B-004</t>
  </si>
  <si>
    <t>CAV-00101-001</t>
  </si>
  <si>
    <t>TVJ/300x100/BM0</t>
  </si>
  <si>
    <t>CAV-00102-001</t>
  </si>
  <si>
    <t>CAV-00103-001</t>
  </si>
  <si>
    <t>CAV-00104-001</t>
  </si>
  <si>
    <t>CAV-00105-001</t>
  </si>
  <si>
    <t>TVJ/400x200/BM0</t>
  </si>
  <si>
    <t>CAV-00106-001</t>
  </si>
  <si>
    <t>TVJ/400x300/BM0</t>
  </si>
  <si>
    <t>CAV-00107-001</t>
  </si>
  <si>
    <t>CAV-00108-001</t>
  </si>
  <si>
    <t>CAV-00109-001</t>
  </si>
  <si>
    <t>CAV-00110-001</t>
  </si>
  <si>
    <t>CAV-00111-001</t>
  </si>
  <si>
    <t>TVJ/400x400/BM0</t>
  </si>
  <si>
    <t>CAV-00113-001</t>
  </si>
  <si>
    <t>TVR-D2/Ø160/BM0</t>
  </si>
  <si>
    <t>CAV-00114-001</t>
  </si>
  <si>
    <t>CAV-00115-001</t>
  </si>
  <si>
    <t>CAV-00116-001</t>
  </si>
  <si>
    <t>TVJ/500x400/BM0</t>
  </si>
  <si>
    <t>VAV REGULATOR</t>
  </si>
  <si>
    <t>VAV regulator</t>
  </si>
  <si>
    <t>VAV-00101-001</t>
  </si>
  <si>
    <t>AK-D2/Ø200 + LMQ24A-SR</t>
  </si>
  <si>
    <t>control: 0…10 VDC, Running time 2.5 s,  4 Nm, AC/DC 24 V, feed back 2…10 VDC,  airtight damper class 4</t>
  </si>
  <si>
    <t>VAV-00102-001</t>
  </si>
  <si>
    <t>VAV-00103-001</t>
  </si>
  <si>
    <t>AK-D2/Ø125 + LMQ24A-SR</t>
  </si>
  <si>
    <t>VAV-00104-001</t>
  </si>
  <si>
    <t>VAV-00105-001</t>
  </si>
  <si>
    <t>JZ-LL-AL/200x300 + LMQ24A-SR</t>
  </si>
  <si>
    <t>VAV-00106-001</t>
  </si>
  <si>
    <t>JZ-LL-AL/400x300 + SMQ24A-SR</t>
  </si>
  <si>
    <t>control: 0…10 VDC, Running time 7 s,  16 Nm, AC/DC 24 V, feed back 2…10 VDC,  airtight damper class 4</t>
  </si>
  <si>
    <t>VAV-00107-001</t>
  </si>
  <si>
    <t>VAV-00108-001</t>
  </si>
  <si>
    <t>VAV-00109-001</t>
  </si>
  <si>
    <t>VAV-00110-001</t>
  </si>
  <si>
    <t>VAV-00111-001</t>
  </si>
  <si>
    <t>JZ-LL-AL/400x400 + SMQ24A-SR</t>
  </si>
  <si>
    <t>VAV-00113-001</t>
  </si>
  <si>
    <t>AK-D2/Ø160 + LMQ24A-SR</t>
  </si>
  <si>
    <t>VAV-00114-001</t>
  </si>
  <si>
    <t>VAV-00115-001</t>
  </si>
  <si>
    <t>VAV-00116-001</t>
  </si>
  <si>
    <t>JZ-LL-AL/500x400 + SMQ24A-SR</t>
  </si>
  <si>
    <t>CEM-SU1-001</t>
  </si>
  <si>
    <t xml:space="preserve"> AHU mixing section</t>
  </si>
  <si>
    <t>SER 100 AL 02 RD / 1500x511 + SM24A-SR</t>
  </si>
  <si>
    <t>control: 0…10 VDC, Dampers up to approx.2 m2, Torque 20 Nm, AC/DC 24 V, 150s, class 4 tightness, ALU</t>
  </si>
  <si>
    <t>CEM-SU1B-001</t>
  </si>
  <si>
    <t>AHU supply section</t>
  </si>
  <si>
    <t>SER 100 AL 02 RD / 885x611 + NM24A + S2A</t>
  </si>
  <si>
    <t>control: on/off, Dampers up to approx.2 m2, Torque 10 Nm, AC/DC 24 V, 150s, class 4 tightness, ALU, 2xSPDT</t>
  </si>
  <si>
    <t>CEM-SU1B-002</t>
  </si>
  <si>
    <t>AHU mixing section</t>
  </si>
  <si>
    <t>SER 100 AL 02 RD / 600x311 + NM24A-SR</t>
  </si>
  <si>
    <t>control: 0…10 VDC, Dampers up to approx.2 m2, Torque 10 Nm, AC/DC 24 V, 150s, class 4 tightness, ALU</t>
  </si>
  <si>
    <t>CEM-SU1B-003</t>
  </si>
  <si>
    <t>AHU return section</t>
  </si>
  <si>
    <t>SER 100 AL 02 RD / 595x611 + NM24A + S2A</t>
  </si>
  <si>
    <t>CEM-00103-001</t>
  </si>
  <si>
    <t>fan unit return</t>
  </si>
  <si>
    <t>SER 100 AL 02 RD / 400x411 + LM24A + S2A</t>
  </si>
  <si>
    <t>control: on/off, Dampers up to approx.1 m2, Torque 5 Nm, AC/DC 24 V, 150s class 4 tightness, ALU, 2xSPDT</t>
  </si>
  <si>
    <t>CEM-00103-002</t>
  </si>
  <si>
    <t>fan unit supply</t>
  </si>
  <si>
    <t>CEM-00104-001</t>
  </si>
  <si>
    <t>CEM-00104-002</t>
  </si>
  <si>
    <t>CEM-00115-001</t>
  </si>
  <si>
    <t>CEM-00115-002</t>
  </si>
  <si>
    <t>EXHAUST FILTER HOUSING</t>
  </si>
  <si>
    <t>Exhasut filter housing</t>
  </si>
  <si>
    <t>F2-SU1</t>
  </si>
  <si>
    <t>CamCube AS 2030</t>
  </si>
  <si>
    <t>F2-SU1B</t>
  </si>
  <si>
    <t>CamCube AS 1010</t>
  </si>
  <si>
    <t>F1-SU1-001</t>
  </si>
  <si>
    <t>filter AHU - E11</t>
  </si>
  <si>
    <t>Absolut VGHF</t>
  </si>
  <si>
    <t>ABS frame; Aluminium frame support; E11; 592x592x290</t>
  </si>
  <si>
    <t>F1-SU1-002</t>
  </si>
  <si>
    <t>F1-SU1-003</t>
  </si>
  <si>
    <t>F1-SU1-004</t>
  </si>
  <si>
    <t>F1-SU1-005</t>
  </si>
  <si>
    <t>F1-SU1-006</t>
  </si>
  <si>
    <t>F1-SU1-007</t>
  </si>
  <si>
    <t>ABS frame; Aluminium frame support; E11; 592x287x290</t>
  </si>
  <si>
    <t>F1-SU1-008</t>
  </si>
  <si>
    <t>F1-SU1-009</t>
  </si>
  <si>
    <t>F1-SU1B-001</t>
  </si>
  <si>
    <t>F1-SU1B-002</t>
  </si>
  <si>
    <t>F2-SU1-001</t>
  </si>
  <si>
    <t>exhasut filter housing - H14</t>
  </si>
  <si>
    <t>Absolut DG</t>
  </si>
  <si>
    <t>ABS frame; PU gasket;  H14; 610x610x292</t>
  </si>
  <si>
    <t>F2-SU1-002</t>
  </si>
  <si>
    <t>F2-SU1-003</t>
  </si>
  <si>
    <t>F2-SU1-004</t>
  </si>
  <si>
    <t>F2-SU1-005</t>
  </si>
  <si>
    <t>F2-SU1-006</t>
  </si>
  <si>
    <t>F2-SU1B-001</t>
  </si>
  <si>
    <t>F-00101-001</t>
  </si>
  <si>
    <t>supply filter housing - H14</t>
  </si>
  <si>
    <t>Megalam Prosafe</t>
  </si>
  <si>
    <t>ALU frame; Silicon gasket; Max. final pressure drop 600Pa 
MX14-2G10-610x610x105-GEL</t>
  </si>
  <si>
    <t>F-00102-001</t>
  </si>
  <si>
    <t>F-00103-001</t>
  </si>
  <si>
    <t>ALU frame; Silicon gasket; Max. final pressure drop 600Pa 
MX14-2G10-1220X610X105-GEL</t>
  </si>
  <si>
    <t>F-00103-002</t>
  </si>
  <si>
    <t>F-00104-001</t>
  </si>
  <si>
    <t>F-00104-002</t>
  </si>
  <si>
    <t>F-00105-001</t>
  </si>
  <si>
    <t>ALU frame; Silicon gasket; Max. final pressure drop 600Pa 
MX14-2G10-915X610X105-GEL</t>
  </si>
  <si>
    <t>F-00105-002</t>
  </si>
  <si>
    <t>F-00106-001</t>
  </si>
  <si>
    <t>F-00106-002</t>
  </si>
  <si>
    <t>F-00106-003</t>
  </si>
  <si>
    <t>F-00106-004</t>
  </si>
  <si>
    <t>F-00107-001</t>
  </si>
  <si>
    <t>F-00107-002</t>
  </si>
  <si>
    <t>F-00107-003</t>
  </si>
  <si>
    <t>F-00107-004</t>
  </si>
  <si>
    <t>F-00108-001</t>
  </si>
  <si>
    <t>F-00108-002</t>
  </si>
  <si>
    <t>F-00108-003</t>
  </si>
  <si>
    <t>F-00108-004</t>
  </si>
  <si>
    <t>F-00109-001</t>
  </si>
  <si>
    <t>F-00109-002</t>
  </si>
  <si>
    <t>F-00109-003</t>
  </si>
  <si>
    <t>F-00109-004</t>
  </si>
  <si>
    <t>F-00110-001</t>
  </si>
  <si>
    <t>F-00110-002</t>
  </si>
  <si>
    <t>F-00110-003</t>
  </si>
  <si>
    <t>F-00110-004</t>
  </si>
  <si>
    <t>F-00111-001</t>
  </si>
  <si>
    <t>F-00111-002</t>
  </si>
  <si>
    <t>F-00111-003</t>
  </si>
  <si>
    <t>F-00111-004</t>
  </si>
  <si>
    <t>F-00111-005</t>
  </si>
  <si>
    <t>F-00112-001</t>
  </si>
  <si>
    <t>F-00112-002</t>
  </si>
  <si>
    <t>F-00112-003</t>
  </si>
  <si>
    <t>F-00112-004</t>
  </si>
  <si>
    <t>F-00112-005</t>
  </si>
  <si>
    <t>F-00113-001</t>
  </si>
  <si>
    <t>F-00114-001</t>
  </si>
  <si>
    <t>F-00115-001</t>
  </si>
  <si>
    <t>F-00115-002</t>
  </si>
  <si>
    <t>F-00116-001</t>
  </si>
  <si>
    <t>F-00116-002</t>
  </si>
  <si>
    <t>F-00116-003</t>
  </si>
  <si>
    <t>F-00116-004</t>
  </si>
  <si>
    <t>F-00116-005</t>
  </si>
  <si>
    <t>TERMINAL CEILING HOUSINGS</t>
  </si>
  <si>
    <t xml:space="preserve">Terminal ceiling housings, supply </t>
  </si>
  <si>
    <t>DIF-00101-001</t>
  </si>
  <si>
    <t>room 00101</t>
  </si>
  <si>
    <t>CleanSeal</t>
  </si>
  <si>
    <t>Top connection; RAL9010; Perforated grill; 6P6; 250mm; with mounting set</t>
  </si>
  <si>
    <t>DIF-00102-001</t>
  </si>
  <si>
    <t>room 00102</t>
  </si>
  <si>
    <t>DIF-00103-001</t>
  </si>
  <si>
    <t>room 00103</t>
  </si>
  <si>
    <t>Top connection; RAL9010; Perforated grill; 12P6; 315mm; with mounting set</t>
  </si>
  <si>
    <t>DIF-00103-002</t>
  </si>
  <si>
    <t>DIF-00104-001</t>
  </si>
  <si>
    <t>room 00104</t>
  </si>
  <si>
    <t>DIF-00104-002</t>
  </si>
  <si>
    <t>DIF-00105-001</t>
  </si>
  <si>
    <t>room 00105</t>
  </si>
  <si>
    <t>Top connection; RAL9010; Perforated grill; 9P6; 315mm; with mounting set</t>
  </si>
  <si>
    <t>DIF-00105-002</t>
  </si>
  <si>
    <t>DIF-00106-001</t>
  </si>
  <si>
    <t>room 00106</t>
  </si>
  <si>
    <t>DIF-00106-002</t>
  </si>
  <si>
    <t>DIF-00106-003</t>
  </si>
  <si>
    <t>DIF-00106-004</t>
  </si>
  <si>
    <t>DIF-00107-001</t>
  </si>
  <si>
    <t>room 00107</t>
  </si>
  <si>
    <t>DIF-00107-002</t>
  </si>
  <si>
    <t>DIF-00107-003</t>
  </si>
  <si>
    <t>DIF-00107-004</t>
  </si>
  <si>
    <t>DIF-00108-001</t>
  </si>
  <si>
    <t>room 00108</t>
  </si>
  <si>
    <t>DIF-00108-002</t>
  </si>
  <si>
    <t>DIF-00108-003</t>
  </si>
  <si>
    <t>DIF-00108-004</t>
  </si>
  <si>
    <t>DIF-00109-001</t>
  </si>
  <si>
    <t>room 00109</t>
  </si>
  <si>
    <t>DIF-00109-002</t>
  </si>
  <si>
    <t>DIF-00109-003</t>
  </si>
  <si>
    <t>DIF-00109-004</t>
  </si>
  <si>
    <t>DIF-00110-001</t>
  </si>
  <si>
    <t>room 00110</t>
  </si>
  <si>
    <t>DIF-00110-002</t>
  </si>
  <si>
    <t>DIF-00110-003</t>
  </si>
  <si>
    <t>DIF-00110-004</t>
  </si>
  <si>
    <t>DIF-00111-001</t>
  </si>
  <si>
    <t>room 00111</t>
  </si>
  <si>
    <t>DIF-00111-002</t>
  </si>
  <si>
    <t>DIF-00111-003</t>
  </si>
  <si>
    <t>DIF-00111-004</t>
  </si>
  <si>
    <t>DIF-00111-005</t>
  </si>
  <si>
    <t>DIF-00112-001</t>
  </si>
  <si>
    <t>room 00112</t>
  </si>
  <si>
    <t>DIF-00112-002</t>
  </si>
  <si>
    <t>DIF-00112-003</t>
  </si>
  <si>
    <t>DIF-00112-004</t>
  </si>
  <si>
    <t>DIF-00112-005</t>
  </si>
  <si>
    <t>DIF-00113-001</t>
  </si>
  <si>
    <t>room 00113</t>
  </si>
  <si>
    <t>DIF-00114-001</t>
  </si>
  <si>
    <t>room 00114</t>
  </si>
  <si>
    <t>DIF-00115-001</t>
  </si>
  <si>
    <t>room 00115</t>
  </si>
  <si>
    <t>DIF-00115-002</t>
  </si>
  <si>
    <t>DIF-00116-001</t>
  </si>
  <si>
    <t>room 00116</t>
  </si>
  <si>
    <t>DIF-00116-002</t>
  </si>
  <si>
    <t>DIF-00116-003</t>
  </si>
  <si>
    <t>DIF-00116-004</t>
  </si>
  <si>
    <t>DIF-00116-005</t>
  </si>
  <si>
    <t>VENTILATION PANELS FOR EXTRACTION AIR</t>
  </si>
  <si>
    <t>Ventilation panels for extraction air</t>
  </si>
  <si>
    <t>GRI-00101-001</t>
  </si>
  <si>
    <t>LSB</t>
  </si>
  <si>
    <t>GRI-00102-001</t>
  </si>
  <si>
    <t>GRI-00103-001</t>
  </si>
  <si>
    <t>GRI-00103-002</t>
  </si>
  <si>
    <t>GRI-00103-003</t>
  </si>
  <si>
    <t>GRI-00104-001</t>
  </si>
  <si>
    <t>GRI-00104-002</t>
  </si>
  <si>
    <t>GRI-00104-003</t>
  </si>
  <si>
    <t>GRI-00105-001</t>
  </si>
  <si>
    <t>GRI-00105-002</t>
  </si>
  <si>
    <t>GRI-00106-001</t>
  </si>
  <si>
    <t>GRI-00106-002</t>
  </si>
  <si>
    <t>GRI-00106-003</t>
  </si>
  <si>
    <t>GRI-00107-001</t>
  </si>
  <si>
    <t>GRI-00107-002</t>
  </si>
  <si>
    <t>GRI-00107-003</t>
  </si>
  <si>
    <t>GRI-00108-001</t>
  </si>
  <si>
    <t>GRI-00108-002</t>
  </si>
  <si>
    <t>GRI-00108-003</t>
  </si>
  <si>
    <t>GRI-00109-001</t>
  </si>
  <si>
    <t>GRI-00109-002</t>
  </si>
  <si>
    <t>GRI-00109-003</t>
  </si>
  <si>
    <t>GRI-00110-001</t>
  </si>
  <si>
    <t>GRI-00110-002</t>
  </si>
  <si>
    <t>GRI-00110-003</t>
  </si>
  <si>
    <t>GRI-00111-001</t>
  </si>
  <si>
    <t>GRI-00111-002</t>
  </si>
  <si>
    <t>GRI-00111-003</t>
  </si>
  <si>
    <t>GRI-00111-004</t>
  </si>
  <si>
    <t>GRI-00111-005</t>
  </si>
  <si>
    <t>GRI-00111-006</t>
  </si>
  <si>
    <t>GRI-00112-001</t>
  </si>
  <si>
    <t>GRI-00112-002</t>
  </si>
  <si>
    <t>GRI-00112-003</t>
  </si>
  <si>
    <t>GRI-00112-004</t>
  </si>
  <si>
    <t>GRI-00112-005</t>
  </si>
  <si>
    <t>GRI-00112-006</t>
  </si>
  <si>
    <t>GRI-00113-001</t>
  </si>
  <si>
    <t>GRI-00114-001</t>
  </si>
  <si>
    <t>GRI-00115-001</t>
  </si>
  <si>
    <t>GRI-00115-002</t>
  </si>
  <si>
    <t>GRI-00115-003</t>
  </si>
  <si>
    <t>GRI-00116-001</t>
  </si>
  <si>
    <t>GRI-00116-002</t>
  </si>
  <si>
    <t>GRI-00116-003</t>
  </si>
  <si>
    <t>GRI-00116-004</t>
  </si>
  <si>
    <t>GRI-00116-005</t>
  </si>
  <si>
    <t>HC1-SU1</t>
  </si>
  <si>
    <t>CC1-SU1</t>
  </si>
  <si>
    <t>CC1-SU1B</t>
  </si>
  <si>
    <t>CC-FU-00103</t>
  </si>
  <si>
    <t>CC-FU-00104</t>
  </si>
  <si>
    <t>CC-00106</t>
  </si>
  <si>
    <t>ducted</t>
  </si>
  <si>
    <t>CC-00107</t>
  </si>
  <si>
    <t>CC-00108</t>
  </si>
  <si>
    <t>CC-00109</t>
  </si>
  <si>
    <t>CC-00110</t>
  </si>
  <si>
    <t>CC-00111</t>
  </si>
  <si>
    <t>CC-FU-00115</t>
  </si>
  <si>
    <t>MTT-00111-001_T</t>
  </si>
  <si>
    <t>MTT-00112-001_H</t>
  </si>
  <si>
    <t>MTT-00111-001_H</t>
  </si>
  <si>
    <t>MTT-00112-001_T</t>
  </si>
  <si>
    <t>A101</t>
  </si>
  <si>
    <t>ObjAnalogueMeasure.InOut[12]</t>
  </si>
  <si>
    <t>ObjAnalogueMeasure.InOut[13]</t>
  </si>
  <si>
    <t>ObjAnalogueMeasure.InOut[14]</t>
  </si>
  <si>
    <t>ObjAnalogueMeasure.InOut[15]</t>
  </si>
  <si>
    <t>ObjAnalogueMeasure.InOut[16]</t>
  </si>
  <si>
    <t>ObjAnalogueMeasure.InOut[17]</t>
  </si>
  <si>
    <t>ObjAnalogueMeasure.InOut[18]</t>
  </si>
  <si>
    <t>ObjAnalogueMeasure.InOut[19]</t>
  </si>
  <si>
    <t>ObjAnalogueMeasure.InOut[20]</t>
  </si>
  <si>
    <t>ObjAnalogueMeasure.InOut[21]</t>
  </si>
  <si>
    <t>ObjAnalogueMeasure.InOut[22]</t>
  </si>
  <si>
    <t>ObjAnalogueMeasure.InOut[23]</t>
  </si>
  <si>
    <t>ObjAnalogueMeasure.InOut[24]</t>
  </si>
  <si>
    <t>ObjAnalogueMeasure.InOut[25]</t>
  </si>
  <si>
    <t>ObjAnalogueMeasure.InOut[26]</t>
  </si>
  <si>
    <t>ObjAnalogueMeasure.InOut[27]</t>
  </si>
  <si>
    <t>ObjAnalogueMeasure.InOut[28]</t>
  </si>
  <si>
    <t>ObjAnalogueMeasure.InOut[29]</t>
  </si>
  <si>
    <t>ObjAnalogueMeasure.InOut[30]</t>
  </si>
  <si>
    <t>ObjAnalogueMeasure.InOut[31]</t>
  </si>
  <si>
    <t>ObjAnalogueMeasure.InOut[32]</t>
  </si>
  <si>
    <t>ObjAnalogueMeasure.InOut[33]</t>
  </si>
  <si>
    <t>ObjAnalogueMeasure.InOut[34]</t>
  </si>
  <si>
    <t>ObjAnalogueMeasure.InOut[35]</t>
  </si>
  <si>
    <t>ObjAnalogueMeasure.InOut[36]</t>
  </si>
  <si>
    <t>ObjAnalogueMeasure.InOut[37]</t>
  </si>
  <si>
    <t>ObjAnalogueMeasure.InOut[38]</t>
  </si>
  <si>
    <t>ObjAnalogueMeasure.InOut[39]</t>
  </si>
  <si>
    <t>ObjAnalogueMeasure.InOut[40]</t>
  </si>
  <si>
    <t>ObjAnalogueMeasure.InOut[41]</t>
  </si>
  <si>
    <t>ObjAnalogueMeasure.InOut[42]</t>
  </si>
  <si>
    <t>ObjAnalogueMeasure.InOut[43]</t>
  </si>
  <si>
    <t>ObjAnalogueMeasure.InOut[44]</t>
  </si>
  <si>
    <t>ObjAnalogueMeasure.InOut[45]</t>
  </si>
  <si>
    <t>ObjAnalogueMeasure.InOut[46]</t>
  </si>
  <si>
    <t>ObjAnalogueMeasure.InOut[47]</t>
  </si>
  <si>
    <t>ObjAnalogueMeasure.InOut[48]</t>
  </si>
  <si>
    <t>ObjAnalogueMeasure.InOut[49]</t>
  </si>
  <si>
    <t>ObjAnalogueMeasure.InOut[50]</t>
  </si>
  <si>
    <t>ObjAnalogueMeasure.InOut[51]</t>
  </si>
  <si>
    <t>ObjValveModulating.InOut[5]</t>
  </si>
  <si>
    <t>ObjValveModulating.InOut[6]</t>
  </si>
  <si>
    <t>ObjValveModulating.InOut[7]</t>
  </si>
  <si>
    <t>ObjValveModulating.InOut[8]</t>
  </si>
  <si>
    <t>ObjValveModulating.InOut[9]</t>
  </si>
  <si>
    <t>ObjValveModulating.InOut[10]</t>
  </si>
  <si>
    <t>ObjValveModulating.InOut[11]</t>
  </si>
  <si>
    <t>ObjValveModulating.InOut[12]</t>
  </si>
  <si>
    <t>ObjValveModulating.InOut[13]</t>
  </si>
  <si>
    <t>ObjValveModulating.InOut[14]</t>
  </si>
  <si>
    <t>ObjValveModulating.InOut[15]</t>
  </si>
  <si>
    <t>ObjValveModulating.InOut[16]</t>
  </si>
  <si>
    <t>ObjValveModulating.InOut[17]</t>
  </si>
  <si>
    <t>ObjValveModulating.InOut[18]</t>
  </si>
  <si>
    <t>ObjValveModulating.InOut[19]</t>
  </si>
  <si>
    <t>ObjValveModulating.InOut[20]</t>
  </si>
  <si>
    <t>ObjValveModulating.InOut[21]</t>
  </si>
  <si>
    <t>ObjValveModulating.InOut[22]</t>
  </si>
  <si>
    <t>ObjValveModulating.InOut[23]</t>
  </si>
  <si>
    <t>ObjValveModulating.InOut[24]</t>
  </si>
  <si>
    <t>ObjValveModulating.InOut[25]</t>
  </si>
  <si>
    <t>ObjValveModulating.InOut[26]</t>
  </si>
  <si>
    <t>ObjValveModulating.InOut[27]</t>
  </si>
  <si>
    <t>ObjValveModulating.InOut[28]</t>
  </si>
  <si>
    <t>ObjValveModulating.InOut[29]</t>
  </si>
  <si>
    <t>ObjValveModulating.InOut[30]</t>
  </si>
  <si>
    <t>ObjValveModulating.InOut[31]</t>
  </si>
  <si>
    <t>ObjValveModulating.InOut[32]</t>
  </si>
  <si>
    <t>ObjValveModulating.InOut[33]</t>
  </si>
  <si>
    <t>ObjValveModulating.InOut[34]</t>
  </si>
  <si>
    <t>ObjValveModulating.InOut[35]</t>
  </si>
  <si>
    <t>ObjValveModulating.InOut[36]</t>
  </si>
  <si>
    <t>ObjValveModulating.InOut[37]</t>
  </si>
  <si>
    <t>ObjValveModulating.InOut[38]</t>
  </si>
  <si>
    <t>ObjValveModulating.InOut[39]</t>
  </si>
  <si>
    <t>ObjValveModulating.InOut[49]</t>
  </si>
  <si>
    <t>ObjValveModulating.InOut[50]</t>
  </si>
  <si>
    <t>ObjValveModulating.InOut[51]</t>
  </si>
  <si>
    <t>ObjValveModulating.InOut[52]</t>
  </si>
  <si>
    <t>ObjValveModulating.InOut[53]</t>
  </si>
  <si>
    <t>ObjValveModulating.InOut[54]</t>
  </si>
  <si>
    <t>ObjValveModulating.InOut[55]</t>
  </si>
  <si>
    <t>ObjValveModulating.InOut[56]</t>
  </si>
  <si>
    <t>ObjValveModulating.InOut[57]</t>
  </si>
  <si>
    <t>ObjValveModulating.InOut[58]</t>
  </si>
  <si>
    <t>ObjMotorModulating.InOut[5]</t>
  </si>
  <si>
    <t>ObjMotorModulating.InOut[6]</t>
  </si>
  <si>
    <t>ObjMotorModulating.InOut[7]</t>
  </si>
  <si>
    <t>ObjMotorModulating.InOut[8]</t>
  </si>
  <si>
    <t>ObjMotorModulating.InOut[9]</t>
  </si>
  <si>
    <t>ObjDigitalInput.InOut[8]</t>
  </si>
  <si>
    <t>ObjDigitalInput.InOut[9]</t>
  </si>
  <si>
    <t>ObjDigitalInput.InOut[10]</t>
  </si>
  <si>
    <t>ObjDigitalInput.InOut[11]</t>
  </si>
  <si>
    <t>ObjDigitalInput.InOut[12]</t>
  </si>
  <si>
    <t>ObjDigitalInput.InOut[13]</t>
  </si>
  <si>
    <t>ObjDigitalInput.InOut[14]</t>
  </si>
  <si>
    <t>ObjDigitalInput.InOut[15]</t>
  </si>
  <si>
    <t>ObjDigitalInput.InOut[16]</t>
  </si>
  <si>
    <t>ObjDigitalInput.InOut[17]</t>
  </si>
  <si>
    <t>ObjDigitalInput.InOut[18]</t>
  </si>
  <si>
    <t>Unit</t>
  </si>
  <si>
    <t>ContPID</t>
  </si>
  <si>
    <t>ValveMod</t>
  </si>
  <si>
    <t>MotorMod</t>
  </si>
  <si>
    <t>DataListForTable</t>
  </si>
  <si>
    <t>SU01</t>
  </si>
  <si>
    <t>SU01B</t>
  </si>
  <si>
    <t>VFD-SF1-SU01-001</t>
  </si>
  <si>
    <t>VFD-SF2-SU01-001</t>
  </si>
  <si>
    <t>VFD-EF1-SU01-001</t>
  </si>
  <si>
    <t>VFD-EF2-SU01-001</t>
  </si>
  <si>
    <t>VFD-SF1-SU01B-001</t>
  </si>
  <si>
    <t>VFD-EF1-SU01B-001</t>
  </si>
  <si>
    <t>TT-SU01-001</t>
  </si>
  <si>
    <t>TT-SU01-002</t>
  </si>
  <si>
    <t>TT-SU01-003</t>
  </si>
  <si>
    <t>TT-SU01B-001</t>
  </si>
  <si>
    <t>TT-SU01B-002</t>
  </si>
  <si>
    <t>PT-SF1-SU01-001</t>
  </si>
  <si>
    <t>PT-SF2-SU01-001</t>
  </si>
  <si>
    <t>PT-SU01-001</t>
  </si>
  <si>
    <t>PT-SU01-002</t>
  </si>
  <si>
    <t>PT-EF1-SU01-001</t>
  </si>
  <si>
    <t>PT-EF2-SU01-001</t>
  </si>
  <si>
    <t>PT-SF1-SU01B-001</t>
  </si>
  <si>
    <t>PT-SU01B-001</t>
  </si>
  <si>
    <t>PT-SU01B-002</t>
  </si>
  <si>
    <t>PT-EF1-SU01B-001</t>
  </si>
  <si>
    <t>PT-F2-SU01-001</t>
  </si>
  <si>
    <t>PT-F2-SU01B-001</t>
  </si>
  <si>
    <t>PDS-F1-SU01-001</t>
  </si>
  <si>
    <t>PSH-SU01-001</t>
  </si>
  <si>
    <t>PDS-F1-SU01B-001</t>
  </si>
  <si>
    <t>PSH-SU01B-001</t>
  </si>
  <si>
    <t>LS-SU01-001</t>
  </si>
  <si>
    <t>CAV-SU01-001</t>
  </si>
  <si>
    <t>CAV-SU01-002</t>
  </si>
  <si>
    <t>CAV-SU01-003</t>
  </si>
  <si>
    <t>CAV-SU01-004</t>
  </si>
  <si>
    <t>CAV-SU01B-001</t>
  </si>
  <si>
    <t>CAV-SU01B-002</t>
  </si>
  <si>
    <t>CAV-SU01B-003</t>
  </si>
  <si>
    <t>CAV-SU01B-004</t>
  </si>
  <si>
    <t>CEM-SU01-001</t>
  </si>
  <si>
    <t>CEM-SU01B-001</t>
  </si>
  <si>
    <t>CEM-SU01B-002</t>
  </si>
  <si>
    <t>CEM-SU01B-003</t>
  </si>
  <si>
    <t>SU1_B_</t>
  </si>
  <si>
    <t>ObjContPID.InOut[$]</t>
  </si>
  <si>
    <t>ObjContPID.InOut[1]</t>
  </si>
  <si>
    <t>ObjContPID.InOut[2]</t>
  </si>
  <si>
    <t>ObjContPID.InOut[3]</t>
  </si>
  <si>
    <t>ObjContPID.InOut[4]</t>
  </si>
  <si>
    <t>ObjContPID.InOut[5]</t>
  </si>
  <si>
    <t>ObjContPID.InOut[6]</t>
  </si>
  <si>
    <t>ObjContPID.InOut[7]</t>
  </si>
  <si>
    <t>ObjUnit.InOut[1]</t>
  </si>
  <si>
    <t>ObjUnit.InOut[2]</t>
  </si>
  <si>
    <t>UnitProcess</t>
  </si>
  <si>
    <t>TempManagerProcess</t>
  </si>
  <si>
    <t>TempManager</t>
  </si>
  <si>
    <t>ObjTempManager.InOut[1]</t>
  </si>
  <si>
    <t>InOutType2</t>
  </si>
  <si>
    <t>InOut2</t>
  </si>
  <si>
    <t>cycle</t>
  </si>
  <si>
    <t>Time</t>
  </si>
  <si>
    <t>RMTR-TC-00106-001</t>
  </si>
  <si>
    <t>RCLG-TC-00106-001</t>
  </si>
  <si>
    <t>RMTR-TC-00107-001</t>
  </si>
  <si>
    <t>RCLG-TC-00107-001</t>
  </si>
  <si>
    <t>RMTR-TC-00108-001</t>
  </si>
  <si>
    <t>RCLG-TC-00108-001</t>
  </si>
  <si>
    <t>RMTR-TC-00109-001</t>
  </si>
  <si>
    <t>RCLG-TC-00109-001</t>
  </si>
  <si>
    <t>RMTR-TC-00110-001</t>
  </si>
  <si>
    <t>RCLG-TC-00110-001</t>
  </si>
  <si>
    <t>RMTR-TC-00111-001</t>
  </si>
  <si>
    <t>RCLG-TC-00111-001</t>
  </si>
  <si>
    <t>PC-00111-001</t>
  </si>
  <si>
    <t>PC-00116-001</t>
  </si>
  <si>
    <t>SA-PC-SU01-001</t>
  </si>
  <si>
    <t>RA-PC-SU01-001</t>
  </si>
  <si>
    <t>MTR-TC-SU01-001</t>
  </si>
  <si>
    <t>HTG-TC-SU01-001</t>
  </si>
  <si>
    <t>CLG-TC-SU01-001</t>
  </si>
  <si>
    <t>TM-00106-001</t>
  </si>
  <si>
    <t>TM-00107-001</t>
  </si>
  <si>
    <t>TM-00108-001</t>
  </si>
  <si>
    <t>TM-00109-001</t>
  </si>
  <si>
    <t>TM-00110-001</t>
  </si>
  <si>
    <t>TM-00111-001</t>
  </si>
  <si>
    <t>ObjContPID.InOut[9]</t>
  </si>
  <si>
    <t>ObjContPID.InOut[10]</t>
  </si>
  <si>
    <t>ObjContPID.InOut[12]</t>
  </si>
  <si>
    <t>ObjContPID.InOut[13]</t>
  </si>
  <si>
    <t>ObjContPID.InOut[15]</t>
  </si>
  <si>
    <t>ObjContPID.InOut[16]</t>
  </si>
  <si>
    <t>ObjContPID.InOut[18]</t>
  </si>
  <si>
    <t>ObjContPID.InOut[19]</t>
  </si>
  <si>
    <t>ObjContPID.InOut[22]</t>
  </si>
  <si>
    <t>ObjContPID.InOut[23]</t>
  </si>
  <si>
    <t>ObjContPID.InOut[24]</t>
  </si>
  <si>
    <t>ObjContPID.InOut[25]</t>
  </si>
  <si>
    <t>ObjContPID.InOut[26]</t>
  </si>
  <si>
    <t>ObjTempManager.InOut[2]</t>
  </si>
  <si>
    <t>ObjTempManager.InOut[3]</t>
  </si>
  <si>
    <t>ObjTempManager.InOut[4]</t>
  </si>
  <si>
    <t>ObjTempManager.InOut[5]</t>
  </si>
  <si>
    <t>ObjTempManager.InOut[6]</t>
  </si>
  <si>
    <t>ObjTempManager.InOut[7]</t>
  </si>
  <si>
    <t>ObjTempManager.InOut[8]</t>
  </si>
  <si>
    <t>FC-00103-001</t>
  </si>
  <si>
    <t>RCLG-TC-00103-001</t>
  </si>
  <si>
    <t>PC-00103-001</t>
  </si>
  <si>
    <t>RCLG-TC-00104-001</t>
  </si>
  <si>
    <t>PC-00104-001</t>
  </si>
  <si>
    <t>FC-00104-001</t>
  </si>
  <si>
    <t>PC-00105-001</t>
  </si>
  <si>
    <t>PC-00101-001</t>
  </si>
  <si>
    <t>PC-00102-001</t>
  </si>
  <si>
    <t>RCLG-TC-00115-001</t>
  </si>
  <si>
    <t>PC-00115-001</t>
  </si>
  <si>
    <t>FC-00115-001</t>
  </si>
  <si>
    <t>PC-00113-001</t>
  </si>
  <si>
    <t>PC-00114-001</t>
  </si>
  <si>
    <t>ObjContPID.InOut[27]</t>
  </si>
  <si>
    <t>ObjContPID.InOut[28]</t>
  </si>
  <si>
    <t>ObjContPID.InOut[29]</t>
  </si>
  <si>
    <t>ObjContPID.InOut[30]</t>
  </si>
  <si>
    <t>ObjContPID.InOut[31]</t>
  </si>
  <si>
    <t>ObjContPID.InOut[32]</t>
  </si>
  <si>
    <t>ObjContPID.InOut[33]</t>
  </si>
  <si>
    <t>ObjContPID.InOut[34]</t>
  </si>
  <si>
    <t>ObjContPID.InOut[35]</t>
  </si>
  <si>
    <t>ObjContPID.InOut[36]</t>
  </si>
  <si>
    <t>ObjContPID.InOut[37]</t>
  </si>
  <si>
    <t>ObjContPID.InOut[38]</t>
  </si>
  <si>
    <t>ObjValveOnOff.InOut[1]</t>
  </si>
  <si>
    <t>ObjValveOnOff.InOut[2]</t>
  </si>
  <si>
    <t>ObjValveOnOff.InOut[3]</t>
  </si>
  <si>
    <t>ObjValveOnOff.InOut[4]</t>
  </si>
  <si>
    <t>ObjValveOnOff.InOut[5]</t>
  </si>
  <si>
    <t>ObjValveOnOff.InOut[6]</t>
  </si>
  <si>
    <t>PC-00112-001</t>
  </si>
  <si>
    <t>FC-00112-001</t>
  </si>
  <si>
    <t>MTR-TC-SU01B-001</t>
  </si>
  <si>
    <t>CLG-TC-SU01B-001</t>
  </si>
  <si>
    <t>Dint</t>
  </si>
  <si>
    <t>HMI_Connection_A101</t>
  </si>
  <si>
    <t>ObjValveOnOff.InOut[7]</t>
  </si>
  <si>
    <t>ObjValveOnOff.InOut[8]</t>
  </si>
  <si>
    <t>PT-SF1-SU01-001-F</t>
  </si>
  <si>
    <t>PT-SF2-SU01-001-F</t>
  </si>
  <si>
    <t>PT-EF1-SU01-001-F</t>
  </si>
  <si>
    <t>PT-EF2-SU01-001-F</t>
  </si>
  <si>
    <t>PT-SF1-SU01B-001-F</t>
  </si>
  <si>
    <t>PT-EF1-SU01B-001-F</t>
  </si>
  <si>
    <t>PT-FU-00103_F</t>
  </si>
  <si>
    <t>PT-FU-00104_F</t>
  </si>
  <si>
    <t>PT-FU-00115_F</t>
  </si>
  <si>
    <t>PWR-SU01</t>
  </si>
  <si>
    <t>MICRO-SU01</t>
  </si>
  <si>
    <t>ES-SU01</t>
  </si>
  <si>
    <t>FC-SU01</t>
  </si>
  <si>
    <t>PS24VAC-SU01</t>
  </si>
  <si>
    <t>PS24VDC-SU01</t>
  </si>
  <si>
    <t>PWR-SU01B</t>
  </si>
  <si>
    <t>MICRO-SU01B</t>
  </si>
  <si>
    <t>ES-SU01B</t>
  </si>
  <si>
    <t>FC-SU01B</t>
  </si>
  <si>
    <t>PS24VAC-SU01B</t>
  </si>
  <si>
    <t>PS24VDC-SU01B</t>
  </si>
  <si>
    <t>SubSystem</t>
  </si>
  <si>
    <t>HVAC_SU01</t>
  </si>
  <si>
    <t>HVAC_SU01B</t>
  </si>
  <si>
    <t>HVAC_R00103</t>
  </si>
  <si>
    <t>HVAC_R00104</t>
  </si>
  <si>
    <t>HVAC_R00115</t>
  </si>
  <si>
    <t>HVAC_R00106</t>
  </si>
  <si>
    <t>HVAC_R00107</t>
  </si>
  <si>
    <t>HVAC_R00108</t>
  </si>
  <si>
    <t>HVAC_R00109</t>
  </si>
  <si>
    <t>HVAC_R00110</t>
  </si>
  <si>
    <t>HVAC_R00111</t>
  </si>
  <si>
    <t>DECONTA-SU01</t>
  </si>
  <si>
    <t>DECONTA-SU01B</t>
  </si>
  <si>
    <t>TM-SU01B-001</t>
  </si>
  <si>
    <t>TM-00104-001</t>
  </si>
  <si>
    <t>TM-00115-001</t>
  </si>
  <si>
    <t>ObjAnalogueMeasure.InOut[52]</t>
  </si>
  <si>
    <t>ObjAnalogueMeasure.InOut[53]</t>
  </si>
  <si>
    <t>ObjAnalogueMeasure.InOut[54]</t>
  </si>
  <si>
    <t>ObjAnalogueMeasure.InOut[55]</t>
  </si>
  <si>
    <t>ObjAnalogueMeasure.InOut[56]</t>
  </si>
  <si>
    <t>ObjAnalogueMeasure.InOut[57]</t>
  </si>
  <si>
    <t>ObjAnalogueMeasure.InOut[58]</t>
  </si>
  <si>
    <t>ObjAnalogueMeasure.InOut[59]</t>
  </si>
  <si>
    <t>ObjAnalogueMeasure.InOut[60]</t>
  </si>
  <si>
    <t>ObjDigitalInput.InOut[19]</t>
  </si>
  <si>
    <t>ObjDigitalInput.InOut[20]</t>
  </si>
  <si>
    <t>ObjDigitalInput.InOut[21]</t>
  </si>
  <si>
    <t>ObjDigitalInput.InOut[22]</t>
  </si>
  <si>
    <t>ObjDigitalInput.InOut[23]</t>
  </si>
  <si>
    <t>ObjDigitalInput.InOut[24]</t>
  </si>
  <si>
    <t>ObjDigitalInput.InOut[25]</t>
  </si>
  <si>
    <t>ObjDigitalInput.InOut[26]</t>
  </si>
  <si>
    <t>ObjDigitalInput.InOut[27]</t>
  </si>
  <si>
    <t>ObjDigitalInput.InOut[28]</t>
  </si>
  <si>
    <t>ObjDigitalInput.InOut[29]</t>
  </si>
  <si>
    <t>ObjDigitalInput.InOut[30]</t>
  </si>
  <si>
    <t>ObjContPID.InOut[11]</t>
  </si>
  <si>
    <t>ObjContPID.InOut[14]</t>
  </si>
  <si>
    <t>ObjContPID.InOut[17]</t>
  </si>
  <si>
    <t>ObjUnit.InOut[3]</t>
  </si>
  <si>
    <t>ObjUnit.InOut[4]</t>
  </si>
  <si>
    <t>ObjTempManager.InOut[9]</t>
  </si>
  <si>
    <t>ObjTempManager.InOut[10]</t>
  </si>
  <si>
    <t>ObjTempManager.InOut[11]</t>
  </si>
  <si>
    <t>DataBlock</t>
  </si>
  <si>
    <t>RetainType1</t>
  </si>
  <si>
    <t>Retain1</t>
  </si>
  <si>
    <t>AnalogueMeasureObject</t>
  </si>
  <si>
    <t>ValveOnOffObject</t>
  </si>
  <si>
    <t>ValveModulatingObject</t>
  </si>
  <si>
    <t>MotorModulatingObject</t>
  </si>
  <si>
    <t>DigitalInputObject</t>
  </si>
  <si>
    <t>ContPIDObject</t>
  </si>
  <si>
    <t>UnitObject</t>
  </si>
  <si>
    <t>TempManagerObject</t>
  </si>
  <si>
    <t>FunctionBlock</t>
  </si>
  <si>
    <t>StaticType1</t>
  </si>
  <si>
    <t>Static1</t>
  </si>
  <si>
    <t>InOut1</t>
  </si>
  <si>
    <t>InOutType1</t>
  </si>
  <si>
    <t>Const1</t>
  </si>
  <si>
    <t>ConstType1</t>
  </si>
  <si>
    <t>TMUX_DataBinding</t>
  </si>
  <si>
    <t>TMUX_AnalogueMeasure</t>
  </si>
  <si>
    <t>DInt:=1</t>
  </si>
  <si>
    <t>DInt:=2</t>
  </si>
  <si>
    <t>DInt:=3</t>
  </si>
  <si>
    <t>DInt:=4</t>
  </si>
  <si>
    <t>DInt:=5</t>
  </si>
  <si>
    <t>DInt:=6</t>
  </si>
  <si>
    <t>DInt:=7</t>
  </si>
  <si>
    <t>DInt:=8</t>
  </si>
  <si>
    <t>DInt:=9</t>
  </si>
  <si>
    <t>DInt:=10</t>
  </si>
  <si>
    <t>DInt:=11</t>
  </si>
  <si>
    <t>DInt:=12</t>
  </si>
  <si>
    <t>DInt:=13</t>
  </si>
  <si>
    <t>DInt:=14</t>
  </si>
  <si>
    <t>DInt:=15</t>
  </si>
  <si>
    <t>DInt:=16</t>
  </si>
  <si>
    <t>DInt:=17</t>
  </si>
  <si>
    <t>DInt:=18</t>
  </si>
  <si>
    <t>DInt:=19</t>
  </si>
  <si>
    <t>DInt:=20</t>
  </si>
  <si>
    <t>DInt:=21</t>
  </si>
  <si>
    <t>DInt:=22</t>
  </si>
  <si>
    <t>DInt:=23</t>
  </si>
  <si>
    <t>DInt:=24</t>
  </si>
  <si>
    <t>DInt:=25</t>
  </si>
  <si>
    <t>DInt:=26</t>
  </si>
  <si>
    <t>DInt:=27</t>
  </si>
  <si>
    <t>DInt:=28</t>
  </si>
  <si>
    <t>DInt:=29</t>
  </si>
  <si>
    <t>DInt:=30</t>
  </si>
  <si>
    <t>DInt:=31</t>
  </si>
  <si>
    <t>DInt:=32</t>
  </si>
  <si>
    <t>DInt:=33</t>
  </si>
  <si>
    <t>DInt:=34</t>
  </si>
  <si>
    <t>DInt:=35</t>
  </si>
  <si>
    <t>DInt:=36</t>
  </si>
  <si>
    <t>DInt:=37</t>
  </si>
  <si>
    <t>DInt:=38</t>
  </si>
  <si>
    <t>DInt:=39</t>
  </si>
  <si>
    <t>DInt:=40</t>
  </si>
  <si>
    <t>DInt:=41</t>
  </si>
  <si>
    <t>DInt:=42</t>
  </si>
  <si>
    <t>DInt:=43</t>
  </si>
  <si>
    <t>DInt:=44</t>
  </si>
  <si>
    <t>DInt:=45</t>
  </si>
  <si>
    <t>DInt:=46</t>
  </si>
  <si>
    <t>DInt:=47</t>
  </si>
  <si>
    <t>DInt:=48</t>
  </si>
  <si>
    <t>DInt:=49</t>
  </si>
  <si>
    <t>DInt:=50</t>
  </si>
  <si>
    <t>DInt:=51</t>
  </si>
  <si>
    <t>DInt:=52</t>
  </si>
  <si>
    <t>DInt:=53</t>
  </si>
  <si>
    <t>DInt:=54</t>
  </si>
  <si>
    <t>DInt:=55</t>
  </si>
  <si>
    <t>DInt:=56</t>
  </si>
  <si>
    <t>DInt:=57</t>
  </si>
  <si>
    <t>DInt:=58</t>
  </si>
  <si>
    <t>DInt:=59</t>
  </si>
  <si>
    <t>DInt:=60</t>
  </si>
  <si>
    <t>TMUX_ValveOnOff</t>
  </si>
  <si>
    <t>ValveModulating</t>
  </si>
  <si>
    <t>TMUX_ValveModulating</t>
  </si>
  <si>
    <t>MotorModulating</t>
  </si>
  <si>
    <t>TMUX_MotorModulating</t>
  </si>
  <si>
    <t>TMUX_DigitalInput</t>
  </si>
  <si>
    <t>Dint:=1</t>
  </si>
  <si>
    <t>Dint:=2</t>
  </si>
  <si>
    <t>Dint:=3</t>
  </si>
  <si>
    <t>Dint:=4</t>
  </si>
  <si>
    <t>Dint:=5</t>
  </si>
  <si>
    <t>Dint:=6</t>
  </si>
  <si>
    <t>Dint:=7</t>
  </si>
  <si>
    <t>Dint:=8</t>
  </si>
  <si>
    <t>Dint:=9</t>
  </si>
  <si>
    <t>Dint:=10</t>
  </si>
  <si>
    <t>Dint:=11</t>
  </si>
  <si>
    <t>Dint:=12</t>
  </si>
  <si>
    <t>Dint:=13</t>
  </si>
  <si>
    <t>Dint:=14</t>
  </si>
  <si>
    <t>Dint:=15</t>
  </si>
  <si>
    <t>Dint:=16</t>
  </si>
  <si>
    <t>Dint:=17</t>
  </si>
  <si>
    <t>Dint:=18</t>
  </si>
  <si>
    <t>Dint:=19</t>
  </si>
  <si>
    <t>Dint:=20</t>
  </si>
  <si>
    <t>Dint:=21</t>
  </si>
  <si>
    <t>Dint:=22</t>
  </si>
  <si>
    <t>Dint:=23</t>
  </si>
  <si>
    <t>Dint:=24</t>
  </si>
  <si>
    <t>Dint:=25</t>
  </si>
  <si>
    <t>Dint:=26</t>
  </si>
  <si>
    <t>Dint:=27</t>
  </si>
  <si>
    <t>Dint:=28</t>
  </si>
  <si>
    <t>Dint:=29</t>
  </si>
  <si>
    <t>Dint:=30</t>
  </si>
  <si>
    <t>TMUX_ContPID</t>
  </si>
  <si>
    <t>TMUX_Unit</t>
  </si>
  <si>
    <t>TMUX_TempManager</t>
  </si>
  <si>
    <t>Obj.1</t>
  </si>
  <si>
    <t>DigitalInputProcess</t>
  </si>
  <si>
    <t>MTT_00111_001_T</t>
  </si>
  <si>
    <t xml:space="preserve">#MTT_00111_001_T(Object := "HVAC_R00111".MTT_00111_001_T,
                InOut := "ObjAnalogueMeasure".InOut[#_MTT_00111_001_T],
                Parameters:="ObjAnalogueMeasure".Parameters[#_MTT_00111_001_T]);
</t>
  </si>
  <si>
    <t>"MTT_00111_001_T"</t>
  </si>
  <si>
    <t>_MTT_00111_001_T</t>
  </si>
  <si>
    <t>MTT_00111_001_H</t>
  </si>
  <si>
    <t xml:space="preserve">#MTT_00111_001_H(Object := "HVAC_R00111".MTT_00111_001_H,
                InOut := "ObjAnalogueMeasure".InOut[#_MTT_00111_001_H],
                Parameters:="ObjAnalogueMeasure".Parameters[#_MTT_00111_001_H]);
</t>
  </si>
  <si>
    <t>"MTT_00111_001_H"</t>
  </si>
  <si>
    <t>_MTT_00111_001_H</t>
  </si>
  <si>
    <t>MTT_00112_001_T</t>
  </si>
  <si>
    <t xml:space="preserve">#MTT_00112_001_T(Object := "HVAC_R00112".MTT_00112_001_T,
                InOut := "ObjAnalogueMeasure".InOut[#_MTT_00112_001_T],
                Parameters:="ObjAnalogueMeasure".Parameters[#_MTT_00112_001_T]);
</t>
  </si>
  <si>
    <t>"MTT_00112_001_T"</t>
  </si>
  <si>
    <t>_MTT_00112_001_T</t>
  </si>
  <si>
    <t>MTT_00112_001_H</t>
  </si>
  <si>
    <t xml:space="preserve">#MTT_00112_001_H(Object := "HVAC_R00112".MTT_00112_001_H,
                InOut := "ObjAnalogueMeasure".InOut[#_MTT_00112_001_H],
                Parameters:="ObjAnalogueMeasure".Parameters[#_MTT_00112_001_H]);
</t>
  </si>
  <si>
    <t>"MTT_00112_001_H"</t>
  </si>
  <si>
    <t>_MTT_00112_001_H</t>
  </si>
  <si>
    <t>TT_SU01_001</t>
  </si>
  <si>
    <t xml:space="preserve">#TT_SU01_001(Object := "HVAC_SU01".TT_SU01_001,
                InOut := "ObjAnalogueMeasure".InOut[#_TT_SU01_001],
                Parameters:="ObjAnalogueMeasure".Parameters[#_TT_SU01_001]);
</t>
  </si>
  <si>
    <t>"TT_SU01_001"</t>
  </si>
  <si>
    <t>_TT_SU01_001</t>
  </si>
  <si>
    <t>TT_SU01_002</t>
  </si>
  <si>
    <t xml:space="preserve">#TT_SU01_002(Object := "HVAC_SU01".TT_SU01_002,
                InOut := "ObjAnalogueMeasure".InOut[#_TT_SU01_002],
                Parameters:="ObjAnalogueMeasure".Parameters[#_TT_SU01_002]);
</t>
  </si>
  <si>
    <t>"TT_SU01_002"</t>
  </si>
  <si>
    <t>_TT_SU01_002</t>
  </si>
  <si>
    <t>TT_SU01_003</t>
  </si>
  <si>
    <t xml:space="preserve">#TT_SU01_003(Object := "HVAC_SU01".TT_SU01_003,
                InOut := "ObjAnalogueMeasure".InOut[#_TT_SU01_003],
                Parameters:="ObjAnalogueMeasure".Parameters[#_TT_SU01_003]);
</t>
  </si>
  <si>
    <t>"TT_SU01_003"</t>
  </si>
  <si>
    <t>_TT_SU01_003</t>
  </si>
  <si>
    <t>TT_SU01B_001</t>
  </si>
  <si>
    <t xml:space="preserve">#TT_SU01B_001(Object := "HVAC_SU01B".TT_SU01B_001,
                InOut := "ObjAnalogueMeasure".InOut[#_TT_SU01B_001],
                Parameters:="ObjAnalogueMeasure".Parameters[#_TT_SU01B_001]);
</t>
  </si>
  <si>
    <t>"TT_SU01B_001"</t>
  </si>
  <si>
    <t>_TT_SU01B_001</t>
  </si>
  <si>
    <t>TT_SU01B_002</t>
  </si>
  <si>
    <t xml:space="preserve">#TT_SU01B_002(Object := "HVAC_SU01B".TT_SU01B_002,
                InOut := "ObjAnalogueMeasure".InOut[#_TT_SU01B_002],
                Parameters:="ObjAnalogueMeasure".Parameters[#_TT_SU01B_002]);
</t>
  </si>
  <si>
    <t>"TT_SU01B_002"</t>
  </si>
  <si>
    <t>_TT_SU01B_002</t>
  </si>
  <si>
    <t>TT_00103_001</t>
  </si>
  <si>
    <t xml:space="preserve">#TT_00103_001(Object := "HVAC_R00103".TT_00103_001,
                InOut := "ObjAnalogueMeasure".InOut[#_TT_00103_001],
                Parameters:="ObjAnalogueMeasure".Parameters[#_TT_00103_001]);
</t>
  </si>
  <si>
    <t>"TT_00103_001"</t>
  </si>
  <si>
    <t>_TT_00103_001</t>
  </si>
  <si>
    <t>TT_00104_001</t>
  </si>
  <si>
    <t xml:space="preserve">#TT_00104_001(Object := "HVAC_R00104".TT_00104_001,
                InOut := "ObjAnalogueMeasure".InOut[#_TT_00104_001],
                Parameters:="ObjAnalogueMeasure".Parameters[#_TT_00104_001]);
</t>
  </si>
  <si>
    <t>"TT_00104_001"</t>
  </si>
  <si>
    <t>_TT_00104_001</t>
  </si>
  <si>
    <t>TT_00106_001</t>
  </si>
  <si>
    <t xml:space="preserve">#TT_00106_001(Object := "HVAC_R00106".TT_00106_001,
                InOut := "ObjAnalogueMeasure".InOut[#_TT_00106_001],
                Parameters:="ObjAnalogueMeasure".Parameters[#_TT_00106_001]);
</t>
  </si>
  <si>
    <t>"TT_00106_001"</t>
  </si>
  <si>
    <t>_TT_00106_001</t>
  </si>
  <si>
    <t>TT_00106_002</t>
  </si>
  <si>
    <t xml:space="preserve">#TT_00106_002(Object := "HVAC_R00106".TT_00106_002,
                InOut := "ObjAnalogueMeasure".InOut[#_TT_00106_002],
                Parameters:="ObjAnalogueMeasure".Parameters[#_TT_00106_002]);
</t>
  </si>
  <si>
    <t>"TT_00106_002"</t>
  </si>
  <si>
    <t>_TT_00106_002</t>
  </si>
  <si>
    <t>TT_00107_001</t>
  </si>
  <si>
    <t xml:space="preserve">#TT_00107_001(Object := "HVAC_R00107".TT_00107_001,
                InOut := "ObjAnalogueMeasure".InOut[#_TT_00107_001],
                Parameters:="ObjAnalogueMeasure".Parameters[#_TT_00107_001]);
</t>
  </si>
  <si>
    <t>"TT_00107_001"</t>
  </si>
  <si>
    <t>_TT_00107_001</t>
  </si>
  <si>
    <t>TT_00107_002</t>
  </si>
  <si>
    <t xml:space="preserve">#TT_00107_002(Object := "HVAC_R00107".TT_00107_002,
                InOut := "ObjAnalogueMeasure".InOut[#_TT_00107_002],
                Parameters:="ObjAnalogueMeasure".Parameters[#_TT_00107_002]);
</t>
  </si>
  <si>
    <t>"TT_00107_002"</t>
  </si>
  <si>
    <t>_TT_00107_002</t>
  </si>
  <si>
    <t>TT_00108_001</t>
  </si>
  <si>
    <t xml:space="preserve">#TT_00108_001(Object := "HVAC_R00108".TT_00108_001,
                InOut := "ObjAnalogueMeasure".InOut[#_TT_00108_001],
                Parameters:="ObjAnalogueMeasure".Parameters[#_TT_00108_001]);
</t>
  </si>
  <si>
    <t>"TT_00108_001"</t>
  </si>
  <si>
    <t>_TT_00108_001</t>
  </si>
  <si>
    <t>TT_00108_002</t>
  </si>
  <si>
    <t xml:space="preserve">#TT_00108_002(Object := "HVAC_R00108".TT_00108_002,
                InOut := "ObjAnalogueMeasure".InOut[#_TT_00108_002],
                Parameters:="ObjAnalogueMeasure".Parameters[#_TT_00108_002]);
</t>
  </si>
  <si>
    <t>"TT_00108_002"</t>
  </si>
  <si>
    <t>_TT_00108_002</t>
  </si>
  <si>
    <t>TT_00109_001</t>
  </si>
  <si>
    <t xml:space="preserve">#TT_00109_001(Object := "HVAC_R00109".TT_00109_001,
                InOut := "ObjAnalogueMeasure".InOut[#_TT_00109_001],
                Parameters:="ObjAnalogueMeasure".Parameters[#_TT_00109_001]);
</t>
  </si>
  <si>
    <t>"TT_00109_001"</t>
  </si>
  <si>
    <t>_TT_00109_001</t>
  </si>
  <si>
    <t>TT_00109_002</t>
  </si>
  <si>
    <t xml:space="preserve">#TT_00109_002(Object := "HVAC_R00109".TT_00109_002,
                InOut := "ObjAnalogueMeasure".InOut[#_TT_00109_002],
                Parameters:="ObjAnalogueMeasure".Parameters[#_TT_00109_002]);
</t>
  </si>
  <si>
    <t>"TT_00109_002"</t>
  </si>
  <si>
    <t>_TT_00109_002</t>
  </si>
  <si>
    <t>TT_00110_001</t>
  </si>
  <si>
    <t xml:space="preserve">#TT_00110_001(Object := "HVAC_R00110".TT_00110_001,
                InOut := "ObjAnalogueMeasure".InOut[#_TT_00110_001],
                Parameters:="ObjAnalogueMeasure".Parameters[#_TT_00110_001]);
</t>
  </si>
  <si>
    <t>"TT_00110_001"</t>
  </si>
  <si>
    <t>_TT_00110_001</t>
  </si>
  <si>
    <t>TT_00110_002</t>
  </si>
  <si>
    <t xml:space="preserve">#TT_00110_002(Object := "HVAC_R00110".TT_00110_002,
                InOut := "ObjAnalogueMeasure".InOut[#_TT_00110_002],
                Parameters:="ObjAnalogueMeasure".Parameters[#_TT_00110_002]);
</t>
  </si>
  <si>
    <t>"TT_00110_002"</t>
  </si>
  <si>
    <t>_TT_00110_002</t>
  </si>
  <si>
    <t>TT_00111_001</t>
  </si>
  <si>
    <t xml:space="preserve">#TT_00111_001(Object := "HVAC_R00111".TT_00111_001,
                InOut := "ObjAnalogueMeasure".InOut[#_TT_00111_001],
                Parameters:="ObjAnalogueMeasure".Parameters[#_TT_00111_001]);
</t>
  </si>
  <si>
    <t>"TT_00111_001"</t>
  </si>
  <si>
    <t>_TT_00111_001</t>
  </si>
  <si>
    <t>TT_00115_001</t>
  </si>
  <si>
    <t xml:space="preserve">#TT_00115_001(Object := "HVAC_R00115".TT_00115_001,
                InOut := "ObjAnalogueMeasure".InOut[#_TT_00115_001],
                Parameters:="ObjAnalogueMeasure".Parameters[#_TT_00115_001]);
</t>
  </si>
  <si>
    <t>"TT_00115_001"</t>
  </si>
  <si>
    <t>_TT_00115_001</t>
  </si>
  <si>
    <t>PT_SF1_SU01_001</t>
  </si>
  <si>
    <t xml:space="preserve">#PT_SF1_SU01_001(Object := "HVAC_SU01".PT_SF1_SU01_001,
                InOut := "ObjAnalogueMeasure".InOut[#_PT_SF1_SU01_001],
                Parameters:="ObjAnalogueMeasure".Parameters[#_PT_SF1_SU01_001]);
</t>
  </si>
  <si>
    <t>"PT_SF1_SU01_001"</t>
  </si>
  <si>
    <t>_PT_SF1_SU01_001</t>
  </si>
  <si>
    <t>PT_SF2_SU01_001</t>
  </si>
  <si>
    <t xml:space="preserve">#PT_SF2_SU01_001(Object := "HVAC_SU01".PT_SF2_SU01_001,
                InOut := "ObjAnalogueMeasure".InOut[#_PT_SF2_SU01_001],
                Parameters:="ObjAnalogueMeasure".Parameters[#_PT_SF2_SU01_001]);
</t>
  </si>
  <si>
    <t>"PT_SF2_SU01_001"</t>
  </si>
  <si>
    <t>_PT_SF2_SU01_001</t>
  </si>
  <si>
    <t>PT_SU01_001</t>
  </si>
  <si>
    <t xml:space="preserve">#PT_SU01_001(Object := "HVAC_SU01".PT_SU01_001,
                InOut := "ObjAnalogueMeasure".InOut[#_PT_SU01_001],
                Parameters:="ObjAnalogueMeasure".Parameters[#_PT_SU01_001]);
</t>
  </si>
  <si>
    <t>"PT_SU01_001"</t>
  </si>
  <si>
    <t>_PT_SU01_001</t>
  </si>
  <si>
    <t>PT_SU01_002</t>
  </si>
  <si>
    <t xml:space="preserve">#PT_SU01_002(Object := "HVAC_SU01".PT_SU01_002,
                InOut := "ObjAnalogueMeasure".InOut[#_PT_SU01_002],
                Parameters:="ObjAnalogueMeasure".Parameters[#_PT_SU01_002]);
</t>
  </si>
  <si>
    <t>"PT_SU01_002"</t>
  </si>
  <si>
    <t>_PT_SU01_002</t>
  </si>
  <si>
    <t>PT_EF1_SU01_001</t>
  </si>
  <si>
    <t xml:space="preserve">#PT_EF1_SU01_001(Object := "HVAC_SU01".PT_EF1_SU01_001,
                InOut := "ObjAnalogueMeasure".InOut[#_PT_EF1_SU01_001],
                Parameters:="ObjAnalogueMeasure".Parameters[#_PT_EF1_SU01_001]);
</t>
  </si>
  <si>
    <t>"PT_EF1_SU01_001"</t>
  </si>
  <si>
    <t>_PT_EF1_SU01_001</t>
  </si>
  <si>
    <t>PT_EF2_SU01_001</t>
  </si>
  <si>
    <t xml:space="preserve">#PT_EF2_SU01_001(Object := "HVAC_SU01".PT_EF2_SU01_001,
                InOut := "ObjAnalogueMeasure".InOut[#_PT_EF2_SU01_001],
                Parameters:="ObjAnalogueMeasure".Parameters[#_PT_EF2_SU01_001]);
</t>
  </si>
  <si>
    <t>"PT_EF2_SU01_001"</t>
  </si>
  <si>
    <t>_PT_EF2_SU01_001</t>
  </si>
  <si>
    <t>PT_SF1_SU01B_001</t>
  </si>
  <si>
    <t xml:space="preserve">#PT_SF1_SU01B_001(Object := "HVAC_SU01B".PT_SF1_SU01B_001,
                InOut := "ObjAnalogueMeasure".InOut[#_PT_SF1_SU01B_001],
                Parameters:="ObjAnalogueMeasure".Parameters[#_PT_SF1_SU01B_001]);
</t>
  </si>
  <si>
    <t>"PT_SF1_SU01B_001"</t>
  </si>
  <si>
    <t>_PT_SF1_SU01B_001</t>
  </si>
  <si>
    <t>PT_SU01B_001</t>
  </si>
  <si>
    <t xml:space="preserve">#PT_SU01B_001(Object := "HVAC_SU01B".PT_SU01B_001,
                InOut := "ObjAnalogueMeasure".InOut[#_PT_SU01B_001],
                Parameters:="ObjAnalogueMeasure".Parameters[#_PT_SU01B_001]);
</t>
  </si>
  <si>
    <t>"PT_SU01B_001"</t>
  </si>
  <si>
    <t>_PT_SU01B_001</t>
  </si>
  <si>
    <t>PT_SU01B_002</t>
  </si>
  <si>
    <t xml:space="preserve">#PT_SU01B_002(Object := "HVAC_SU01B".PT_SU01B_002,
                InOut := "ObjAnalogueMeasure".InOut[#_PT_SU01B_002],
                Parameters:="ObjAnalogueMeasure".Parameters[#_PT_SU01B_002]);
</t>
  </si>
  <si>
    <t>"PT_SU01B_002"</t>
  </si>
  <si>
    <t>_PT_SU01B_002</t>
  </si>
  <si>
    <t>PT_EF1_SU01B_001</t>
  </si>
  <si>
    <t xml:space="preserve">#PT_EF1_SU01B_001(Object := "HVAC_SU01B".PT_EF1_SU01B_001,
                InOut := "ObjAnalogueMeasure".InOut[#_PT_EF1_SU01B_001],
                Parameters:="ObjAnalogueMeasure".Parameters[#_PT_EF1_SU01B_001]);
</t>
  </si>
  <si>
    <t>"PT_EF1_SU01B_001"</t>
  </si>
  <si>
    <t>_PT_EF1_SU01B_001</t>
  </si>
  <si>
    <t>PT_F2_SU01_001</t>
  </si>
  <si>
    <t xml:space="preserve">#PT_F2_SU01_001(Object := "HVAC_SU01".PT_F2_SU01_001,
                InOut := "ObjAnalogueMeasure".InOut[#_PT_F2_SU01_001],
                Parameters:="ObjAnalogueMeasure".Parameters[#_PT_F2_SU01_001]);
</t>
  </si>
  <si>
    <t>"PT_F2_SU01_001"</t>
  </si>
  <si>
    <t>_PT_F2_SU01_001</t>
  </si>
  <si>
    <t>PT_F2_SU01B_001</t>
  </si>
  <si>
    <t xml:space="preserve">#PT_F2_SU01B_001(Object := "HVAC_SU01B".PT_F2_SU01B_001,
                InOut := "ObjAnalogueMeasure".InOut[#_PT_F2_SU01B_001],
                Parameters:="ObjAnalogueMeasure".Parameters[#_PT_F2_SU01B_001]);
</t>
  </si>
  <si>
    <t>"PT_F2_SU01B_001"</t>
  </si>
  <si>
    <t>_PT_F2_SU01B_001</t>
  </si>
  <si>
    <t>PT_FU_00103</t>
  </si>
  <si>
    <t xml:space="preserve">#PT_FU_00103(Object := "HVAC_R00103".PT_FU_00103,
                InOut := "ObjAnalogueMeasure".InOut[#_PT_FU_00103],
                Parameters:="ObjAnalogueMeasure".Parameters[#_PT_FU_00103]);
</t>
  </si>
  <si>
    <t>"PT_FU_00103"</t>
  </si>
  <si>
    <t>_PT_FU_00103</t>
  </si>
  <si>
    <t>PT_FU_00104</t>
  </si>
  <si>
    <t xml:space="preserve">#PT_FU_00104(Object := "HVAC_R00104".PT_FU_00104,
                InOut := "ObjAnalogueMeasure".InOut[#_PT_FU_00104],
                Parameters:="ObjAnalogueMeasure".Parameters[#_PT_FU_00104]);
</t>
  </si>
  <si>
    <t>"PT_FU_00104"</t>
  </si>
  <si>
    <t>_PT_FU_00104</t>
  </si>
  <si>
    <t>PT_FU_00115</t>
  </si>
  <si>
    <t xml:space="preserve">#PT_FU_00115(Object := "HVAC_R00115".PT_FU_00115,
                InOut := "ObjAnalogueMeasure".InOut[#_PT_FU_00115],
                Parameters:="ObjAnalogueMeasure".Parameters[#_PT_FU_00115]);
</t>
  </si>
  <si>
    <t>"PT_FU_00115"</t>
  </si>
  <si>
    <t>_PT_FU_00115</t>
  </si>
  <si>
    <t>PDT_00101_001</t>
  </si>
  <si>
    <t xml:space="preserve">#PDT_00101_001(Object := "HVAC_R00101".PDT_00101_001,
                InOut := "ObjAnalogueMeasure".InOut[#_PDT_00101_001],
                Parameters:="ObjAnalogueMeasure".Parameters[#_PDT_00101_001]);
</t>
  </si>
  <si>
    <t>"PDT_00101_001"</t>
  </si>
  <si>
    <t>_PDT_00101_001</t>
  </si>
  <si>
    <t>PDT_00102_001</t>
  </si>
  <si>
    <t xml:space="preserve">#PDT_00102_001(Object := "HVAC_R00102".PDT_00102_001,
                InOut := "ObjAnalogueMeasure".InOut[#_PDT_00102_001],
                Parameters:="ObjAnalogueMeasure".Parameters[#_PDT_00102_001]);
</t>
  </si>
  <si>
    <t>"PDT_00102_001"</t>
  </si>
  <si>
    <t>_PDT_00102_001</t>
  </si>
  <si>
    <t>PDT_00103_001</t>
  </si>
  <si>
    <t xml:space="preserve">#PDT_00103_001(Object := "HVAC_R00103".PDT_00103_001,
                InOut := "ObjAnalogueMeasure".InOut[#_PDT_00103_001],
                Parameters:="ObjAnalogueMeasure".Parameters[#_PDT_00103_001]);
</t>
  </si>
  <si>
    <t>"PDT_00103_001"</t>
  </si>
  <si>
    <t>_PDT_00103_001</t>
  </si>
  <si>
    <t>PDT_00104_001</t>
  </si>
  <si>
    <t xml:space="preserve">#PDT_00104_001(Object := "HVAC_R00104".PDT_00104_001,
                InOut := "ObjAnalogueMeasure".InOut[#_PDT_00104_001],
                Parameters:="ObjAnalogueMeasure".Parameters[#_PDT_00104_001]);
</t>
  </si>
  <si>
    <t>"PDT_00104_001"</t>
  </si>
  <si>
    <t>_PDT_00104_001</t>
  </si>
  <si>
    <t>PDT_00105_001</t>
  </si>
  <si>
    <t xml:space="preserve">#PDT_00105_001(Object := "HVAC_R00105".PDT_00105_001,
                InOut := "ObjAnalogueMeasure".InOut[#_PDT_00105_001],
                Parameters:="ObjAnalogueMeasure".Parameters[#_PDT_00105_001]);
</t>
  </si>
  <si>
    <t>"PDT_00105_001"</t>
  </si>
  <si>
    <t>_PDT_00105_001</t>
  </si>
  <si>
    <t>PDT_00106_001</t>
  </si>
  <si>
    <t xml:space="preserve">#PDT_00106_001(Object := "HVAC_R00106".PDT_00106_001,
                InOut := "ObjAnalogueMeasure".InOut[#_PDT_00106_001],
                Parameters:="ObjAnalogueMeasure".Parameters[#_PDT_00106_001]);
</t>
  </si>
  <si>
    <t>"PDT_00106_001"</t>
  </si>
  <si>
    <t>_PDT_00106_001</t>
  </si>
  <si>
    <t>PT_00106_001</t>
  </si>
  <si>
    <t xml:space="preserve">#PT_00106_001(Object := "HVAC_R00106".PT_00106_001,
                InOut := "ObjAnalogueMeasure".InOut[#_PT_00106_001],
                Parameters:="ObjAnalogueMeasure".Parameters[#_PT_00106_001]);
</t>
  </si>
  <si>
    <t>"PT_00106_001"</t>
  </si>
  <si>
    <t>_PT_00106_001</t>
  </si>
  <si>
    <t>PDT_00111_001</t>
  </si>
  <si>
    <t xml:space="preserve">#PDT_00111_001(Object := "HVAC_R00111".PDT_00111_001,
                InOut := "ObjAnalogueMeasure".InOut[#_PDT_00111_001],
                Parameters:="ObjAnalogueMeasure".Parameters[#_PDT_00111_001]);
</t>
  </si>
  <si>
    <t>"PDT_00111_001"</t>
  </si>
  <si>
    <t>_PDT_00111_001</t>
  </si>
  <si>
    <t>PDT_00112_001</t>
  </si>
  <si>
    <t xml:space="preserve">#PDT_00112_001(Object := "HVAC_R00112".PDT_00112_001,
                InOut := "ObjAnalogueMeasure".InOut[#_PDT_00112_001],
                Parameters:="ObjAnalogueMeasure".Parameters[#_PDT_00112_001]);
</t>
  </si>
  <si>
    <t>"PDT_00112_001"</t>
  </si>
  <si>
    <t>_PDT_00112_001</t>
  </si>
  <si>
    <t>PDT_00113_001</t>
  </si>
  <si>
    <t xml:space="preserve">#PDT_00113_001(Object := "HVAC_R00113".PDT_00113_001,
                InOut := "ObjAnalogueMeasure".InOut[#_PDT_00113_001],
                Parameters:="ObjAnalogueMeasure".Parameters[#_PDT_00113_001]);
</t>
  </si>
  <si>
    <t>"PDT_00113_001"</t>
  </si>
  <si>
    <t>_PDT_00113_001</t>
  </si>
  <si>
    <t>PDT_00114_001</t>
  </si>
  <si>
    <t xml:space="preserve">#PDT_00114_001(Object := "HVAC_R00114".PDT_00114_001,
                InOut := "ObjAnalogueMeasure".InOut[#_PDT_00114_001],
                Parameters:="ObjAnalogueMeasure".Parameters[#_PDT_00114_001]);
</t>
  </si>
  <si>
    <t>"PDT_00114_001"</t>
  </si>
  <si>
    <t>_PDT_00114_001</t>
  </si>
  <si>
    <t>PDT_00115_001</t>
  </si>
  <si>
    <t xml:space="preserve">#PDT_00115_001(Object := "HVAC_R00115".PDT_00115_001,
                InOut := "ObjAnalogueMeasure".InOut[#_PDT_00115_001],
                Parameters:="ObjAnalogueMeasure".Parameters[#_PDT_00115_001]);
</t>
  </si>
  <si>
    <t>"PDT_00115_001"</t>
  </si>
  <si>
    <t>_PDT_00115_001</t>
  </si>
  <si>
    <t>PDT_00116_001</t>
  </si>
  <si>
    <t xml:space="preserve">#PDT_00116_001(Object := "HVAC_R00116".PDT_00116_001,
                InOut := "ObjAnalogueMeasure".InOut[#_PDT_00116_001],
                Parameters:="ObjAnalogueMeasure".Parameters[#_PDT_00116_001]);
</t>
  </si>
  <si>
    <t>"PDT_00116_001"</t>
  </si>
  <si>
    <t>_PDT_00116_001</t>
  </si>
  <si>
    <t>PT_SF1_SU01_001_F</t>
  </si>
  <si>
    <t xml:space="preserve">#PT_SF1_SU01_001_F(Object := "HVAC_SU01".PT_SF1_SU01_001_F,
                InOut := "ObjAnalogueMeasure".InOut[#_PT_SF1_SU01_001_F],
                Parameters:="ObjAnalogueMeasure".Parameters[#_PT_SF1_SU01_001_F]);
</t>
  </si>
  <si>
    <t>"PT_SF1_SU01_001_F"</t>
  </si>
  <si>
    <t>_PT_SF1_SU01_001_F</t>
  </si>
  <si>
    <t>PT_SF2_SU01_001_F</t>
  </si>
  <si>
    <t xml:space="preserve">#PT_SF2_SU01_001_F(Object := "HVAC_SU01".PT_SF2_SU01_001_F,
                InOut := "ObjAnalogueMeasure".InOut[#_PT_SF2_SU01_001_F],
                Parameters:="ObjAnalogueMeasure".Parameters[#_PT_SF2_SU01_001_F]);
</t>
  </si>
  <si>
    <t>"PT_SF2_SU01_001_F"</t>
  </si>
  <si>
    <t>_PT_SF2_SU01_001_F</t>
  </si>
  <si>
    <t>PT_EF1_SU01_001_F</t>
  </si>
  <si>
    <t xml:space="preserve">#PT_EF1_SU01_001_F(Object := "HVAC_SU01".PT_EF1_SU01_001_F,
                InOut := "ObjAnalogueMeasure".InOut[#_PT_EF1_SU01_001_F],
                Parameters:="ObjAnalogueMeasure".Parameters[#_PT_EF1_SU01_001_F]);
</t>
  </si>
  <si>
    <t>"PT_EF1_SU01_001_F"</t>
  </si>
  <si>
    <t>_PT_EF1_SU01_001_F</t>
  </si>
  <si>
    <t>PT_EF2_SU01_001_F</t>
  </si>
  <si>
    <t xml:space="preserve">#PT_EF2_SU01_001_F(Object := "HVAC_SU01".PT_EF2_SU01_001_F,
                InOut := "ObjAnalogueMeasure".InOut[#_PT_EF2_SU01_001_F],
                Parameters:="ObjAnalogueMeasure".Parameters[#_PT_EF2_SU01_001_F]);
</t>
  </si>
  <si>
    <t>"PT_EF2_SU01_001_F"</t>
  </si>
  <si>
    <t>_PT_EF2_SU01_001_F</t>
  </si>
  <si>
    <t>PT_SF1_SU01B_001_F</t>
  </si>
  <si>
    <t xml:space="preserve">#PT_SF1_SU01B_001_F(Object := "HVAC_SU01B".PT_SF1_SU01B_001_F,
                InOut := "ObjAnalogueMeasure".InOut[#_PT_SF1_SU01B_001_F],
                Parameters:="ObjAnalogueMeasure".Parameters[#_PT_SF1_SU01B_001_F]);
</t>
  </si>
  <si>
    <t>"PT_SF1_SU01B_001_F"</t>
  </si>
  <si>
    <t>_PT_SF1_SU01B_001_F</t>
  </si>
  <si>
    <t>PT_EF1_SU01B_001_F</t>
  </si>
  <si>
    <t xml:space="preserve">#PT_EF1_SU01B_001_F(Object := "HVAC_SU01B".PT_EF1_SU01B_001_F,
                InOut := "ObjAnalogueMeasure".InOut[#_PT_EF1_SU01B_001_F],
                Parameters:="ObjAnalogueMeasure".Parameters[#_PT_EF1_SU01B_001_F]);
</t>
  </si>
  <si>
    <t>"PT_EF1_SU01B_001_F"</t>
  </si>
  <si>
    <t>_PT_EF1_SU01B_001_F</t>
  </si>
  <si>
    <t>PT_FU_00103_F</t>
  </si>
  <si>
    <t xml:space="preserve">#PT_FU_00103_F(Object := "HVAC_R00103".PT_FU_00103_F,
                InOut := "ObjAnalogueMeasure".InOut[#_PT_FU_00103_F],
                Parameters:="ObjAnalogueMeasure".Parameters[#_PT_FU_00103_F]);
</t>
  </si>
  <si>
    <t>"PT_FU_00103_F"</t>
  </si>
  <si>
    <t>_PT_FU_00103_F</t>
  </si>
  <si>
    <t>PT_FU_00104_F</t>
  </si>
  <si>
    <t xml:space="preserve">#PT_FU_00104_F(Object := "HVAC_R00104".PT_FU_00104_F,
                InOut := "ObjAnalogueMeasure".InOut[#_PT_FU_00104_F],
                Parameters:="ObjAnalogueMeasure".Parameters[#_PT_FU_00104_F]);
</t>
  </si>
  <si>
    <t>"PT_FU_00104_F"</t>
  </si>
  <si>
    <t>_PT_FU_00104_F</t>
  </si>
  <si>
    <t>PT_FU_00115_F</t>
  </si>
  <si>
    <t xml:space="preserve">#PT_FU_00115_F(Object := "HVAC_R00115".PT_FU_00115_F,
                InOut := "ObjAnalogueMeasure".InOut[#_PT_FU_00115_F],
                Parameters:="ObjAnalogueMeasure".Parameters[#_PT_FU_00115_F]);
</t>
  </si>
  <si>
    <t>"PT_FU_00115_F"</t>
  </si>
  <si>
    <t>_PT_FU_00115_F</t>
  </si>
  <si>
    <t>CEM_00103_001</t>
  </si>
  <si>
    <t xml:space="preserve">#CEM_00103_001(Object := "HVAC_R00103".CEM_00103_001,
                InOut := "ObjValveOnOff".InOut[#_CEM_00103_001],
                Parameters:="ObjValveOnOff".Parameters[#_CEM_00103_001],
                Statistics:="ObjValveOnOff".Statistic[#_CEM_00103_001]);
</t>
  </si>
  <si>
    <t>"CEM_00103_001"</t>
  </si>
  <si>
    <t>_CEM_00103_001</t>
  </si>
  <si>
    <t>CEM_00103_002</t>
  </si>
  <si>
    <t xml:space="preserve">#CEM_00103_002(Object := "HVAC_R00103".CEM_00103_002,
                InOut := "ObjValveOnOff".InOut[#_CEM_00103_002],
                Parameters:="ObjValveOnOff".Parameters[#_CEM_00103_002],
                Statistics:="ObjValveOnOff".Statistic[#_CEM_00103_002]);
</t>
  </si>
  <si>
    <t>"CEM_00103_002"</t>
  </si>
  <si>
    <t>_CEM_00103_002</t>
  </si>
  <si>
    <t>CEM_00104_001</t>
  </si>
  <si>
    <t xml:space="preserve">#CEM_00104_001(Object := "HVAC_R00104".CEM_00104_001,
                InOut := "ObjValveOnOff".InOut[#_CEM_00104_001],
                Parameters:="ObjValveOnOff".Parameters[#_CEM_00104_001],
                Statistics:="ObjValveOnOff".Statistic[#_CEM_00104_001]);
</t>
  </si>
  <si>
    <t>"CEM_00104_001"</t>
  </si>
  <si>
    <t>_CEM_00104_001</t>
  </si>
  <si>
    <t>CEM_00104_002</t>
  </si>
  <si>
    <t xml:space="preserve">#CEM_00104_002(Object := "HVAC_R00104".CEM_00104_002,
                InOut := "ObjValveOnOff".InOut[#_CEM_00104_002],
                Parameters:="ObjValveOnOff".Parameters[#_CEM_00104_002],
                Statistics:="ObjValveOnOff".Statistic[#_CEM_00104_002]);
</t>
  </si>
  <si>
    <t>"CEM_00104_002"</t>
  </si>
  <si>
    <t>_CEM_00104_002</t>
  </si>
  <si>
    <t>CEM_00115_001</t>
  </si>
  <si>
    <t xml:space="preserve">#CEM_00115_001(Object := "HVAC_R00115".CEM_00115_001,
                InOut := "ObjValveOnOff".InOut[#_CEM_00115_001],
                Parameters:="ObjValveOnOff".Parameters[#_CEM_00115_001],
                Statistics:="ObjValveOnOff".Statistic[#_CEM_00115_001]);
</t>
  </si>
  <si>
    <t>"CEM_00115_001"</t>
  </si>
  <si>
    <t>_CEM_00115_001</t>
  </si>
  <si>
    <t>CEM_00115_002</t>
  </si>
  <si>
    <t xml:space="preserve">#CEM_00115_002(Object := "HVAC_R00115".CEM_00115_002,
                InOut := "ObjValveOnOff".InOut[#_CEM_00115_002],
                Parameters:="ObjValveOnOff".Parameters[#_CEM_00115_002],
                Statistics:="ObjValveOnOff".Statistic[#_CEM_00115_002]);
</t>
  </si>
  <si>
    <t>"CEM_00115_002"</t>
  </si>
  <si>
    <t>_CEM_00115_002</t>
  </si>
  <si>
    <t>CEM_SU01B_001</t>
  </si>
  <si>
    <t xml:space="preserve">#CEM_SU01B_001(Object := "HVAC_SU01B".CEM_SU01B_001,
                InOut := "ObjValveOnOff".InOut[#_CEM_SU01B_001],
                Parameters:="ObjValveOnOff".Parameters[#_CEM_SU01B_001],
                Statistics:="ObjValveOnOff".Statistic[#_CEM_SU01B_001]);
</t>
  </si>
  <si>
    <t>"CEM_SU01B_001"</t>
  </si>
  <si>
    <t>_CEM_SU01B_001</t>
  </si>
  <si>
    <t>CEM_SU01B_003</t>
  </si>
  <si>
    <t xml:space="preserve">#CEM_SU01B_003(Object := "HVAC_SU01B".CEM_SU01B_003,
                InOut := "ObjValveOnOff".InOut[#_CEM_SU01B_003],
                Parameters:="ObjValveOnOff".Parameters[#_CEM_SU01B_003],
                Statistics:="ObjValveOnOff".Statistic[#_CEM_SU01B_003]);
</t>
  </si>
  <si>
    <t>"CEM_SU01B_003"</t>
  </si>
  <si>
    <t>_CEM_SU01B_003</t>
  </si>
  <si>
    <t>CAV_SU01_001</t>
  </si>
  <si>
    <t xml:space="preserve">#CAV_SU01_001(Object := "HVAC_SU01".CAV_SU01_001,
                InOut := "ObjValveModulating".InOut[#_CAV_SU01_001],
                Parameters:="ObjValveModulating".Parameters[#_CAV_SU01_001],
                Statistics:="ObjValveModulating".Statistic[#_CAV_SU01_001]);
</t>
  </si>
  <si>
    <t>"CAV_SU01_001"</t>
  </si>
  <si>
    <t>_CAV_SU01_001</t>
  </si>
  <si>
    <t>CAV_SU01_002</t>
  </si>
  <si>
    <t xml:space="preserve">#CAV_SU01_002(Object := "HVAC_SU01".CAV_SU01_002,
                InOut := "ObjValveModulating".InOut[#_CAV_SU01_002],
                Parameters:="ObjValveModulating".Parameters[#_CAV_SU01_002],
                Statistics:="ObjValveModulating".Statistic[#_CAV_SU01_002]);
</t>
  </si>
  <si>
    <t>"CAV_SU01_002"</t>
  </si>
  <si>
    <t>_CAV_SU01_002</t>
  </si>
  <si>
    <t>CAV_SU01_003</t>
  </si>
  <si>
    <t xml:space="preserve">#CAV_SU01_003(Object := "HVAC_SU01".CAV_SU01_003,
                InOut := "ObjValveModulating".InOut[#_CAV_SU01_003],
                Parameters:="ObjValveModulating".Parameters[#_CAV_SU01_003],
                Statistics:="ObjValveModulating".Statistic[#_CAV_SU01_003]);
</t>
  </si>
  <si>
    <t>"CAV_SU01_003"</t>
  </si>
  <si>
    <t>_CAV_SU01_003</t>
  </si>
  <si>
    <t>CAV_SU01_004</t>
  </si>
  <si>
    <t xml:space="preserve">#CAV_SU01_004(Object := "HVAC_SU01".CAV_SU01_004,
                InOut := "ObjValveModulating".InOut[#_CAV_SU01_004],
                Parameters:="ObjValveModulating".Parameters[#_CAV_SU01_004],
                Statistics:="ObjValveModulating".Statistic[#_CAV_SU01_004]);
</t>
  </si>
  <si>
    <t>"CAV_SU01_004"</t>
  </si>
  <si>
    <t>_CAV_SU01_004</t>
  </si>
  <si>
    <t>CAV_SU01B_001</t>
  </si>
  <si>
    <t xml:space="preserve">#CAV_SU01B_001(Object := "HVAC_SU01B".CAV_SU01B_001,
                InOut := "ObjValveModulating".InOut[#_CAV_SU01B_001],
                Parameters:="ObjValveModulating".Parameters[#_CAV_SU01B_001],
                Statistics:="ObjValveModulating".Statistic[#_CAV_SU01B_001]);
</t>
  </si>
  <si>
    <t>"CAV_SU01B_001"</t>
  </si>
  <si>
    <t>_CAV_SU01B_001</t>
  </si>
  <si>
    <t>CAV_SU01B_002</t>
  </si>
  <si>
    <t xml:space="preserve">#CAV_SU01B_002(Object := "HVAC_SU01B".CAV_SU01B_002,
                InOut := "ObjValveModulating".InOut[#_CAV_SU01B_002],
                Parameters:="ObjValveModulating".Parameters[#_CAV_SU01B_002],
                Statistics:="ObjValveModulating".Statistic[#_CAV_SU01B_002]);
</t>
  </si>
  <si>
    <t>"CAV_SU01B_002"</t>
  </si>
  <si>
    <t>_CAV_SU01B_002</t>
  </si>
  <si>
    <t>CAV_SU01B_003</t>
  </si>
  <si>
    <t xml:space="preserve">#CAV_SU01B_003(Object := "HVAC_SU01B".CAV_SU01B_003,
                InOut := "ObjValveModulating".InOut[#_CAV_SU01B_003],
                Parameters:="ObjValveModulating".Parameters[#_CAV_SU01B_003],
                Statistics:="ObjValveModulating".Statistic[#_CAV_SU01B_003]);
</t>
  </si>
  <si>
    <t>"CAV_SU01B_003"</t>
  </si>
  <si>
    <t>_CAV_SU01B_003</t>
  </si>
  <si>
    <t>CAV_SU01B_004</t>
  </si>
  <si>
    <t xml:space="preserve">#CAV_SU01B_004(Object := "HVAC_SU01B".CAV_SU01B_004,
                InOut := "ObjValveModulating".InOut[#_CAV_SU01B_004],
                Parameters:="ObjValveModulating".Parameters[#_CAV_SU01B_004],
                Statistics:="ObjValveModulating".Statistic[#_CAV_SU01B_004]);
</t>
  </si>
  <si>
    <t>"CAV_SU01B_004"</t>
  </si>
  <si>
    <t>_CAV_SU01B_004</t>
  </si>
  <si>
    <t>CAV_00101_001</t>
  </si>
  <si>
    <t xml:space="preserve">#CAV_00101_001(Object := "HVAC_R00101".CAV_00101_001,
                InOut := "ObjValveModulating".InOut[#_CAV_00101_001],
                Parameters:="ObjValveModulating".Parameters[#_CAV_00101_001],
                Statistics:="ObjValveModulating".Statistic[#_CAV_00101_001]);
</t>
  </si>
  <si>
    <t>"CAV_00101_001"</t>
  </si>
  <si>
    <t>_CAV_00101_001</t>
  </si>
  <si>
    <t>CAV_00102_001</t>
  </si>
  <si>
    <t xml:space="preserve">#CAV_00102_001(Object := "HVAC_R00102".CAV_00102_001,
                InOut := "ObjValveModulating".InOut[#_CAV_00102_001],
                Parameters:="ObjValveModulating".Parameters[#_CAV_00102_001],
                Statistics:="ObjValveModulating".Statistic[#_CAV_00102_001]);
</t>
  </si>
  <si>
    <t>"CAV_00102_001"</t>
  </si>
  <si>
    <t>_CAV_00102_001</t>
  </si>
  <si>
    <t>CAV_00103_001</t>
  </si>
  <si>
    <t xml:space="preserve">#CAV_00103_001(Object := "HVAC_R00103".CAV_00103_001,
                InOut := "ObjValveModulating".InOut[#_CAV_00103_001],
                Parameters:="ObjValveModulating".Parameters[#_CAV_00103_001],
                Statistics:="ObjValveModulating".Statistic[#_CAV_00103_001]);
</t>
  </si>
  <si>
    <t>"CAV_00103_001"</t>
  </si>
  <si>
    <t>_CAV_00103_001</t>
  </si>
  <si>
    <t>CAV_00104_001</t>
  </si>
  <si>
    <t xml:space="preserve">#CAV_00104_001(Object := "HVAC_R00104".CAV_00104_001,
                InOut := "ObjValveModulating".InOut[#_CAV_00104_001],
                Parameters:="ObjValveModulating".Parameters[#_CAV_00104_001],
                Statistics:="ObjValveModulating".Statistic[#_CAV_00104_001]);
</t>
  </si>
  <si>
    <t>"CAV_00104_001"</t>
  </si>
  <si>
    <t>_CAV_00104_001</t>
  </si>
  <si>
    <t>CAV_00105_001</t>
  </si>
  <si>
    <t xml:space="preserve">#CAV_00105_001(Object := "HVAC_R00105".CAV_00105_001,
                InOut := "ObjValveModulating".InOut[#_CAV_00105_001],
                Parameters:="ObjValveModulating".Parameters[#_CAV_00105_001],
                Statistics:="ObjValveModulating".Statistic[#_CAV_00105_001]);
</t>
  </si>
  <si>
    <t>"CAV_00105_001"</t>
  </si>
  <si>
    <t>_CAV_00105_001</t>
  </si>
  <si>
    <t>CAV_00106_001</t>
  </si>
  <si>
    <t xml:space="preserve">#CAV_00106_001(Object := "HVAC_R00106".CAV_00106_001,
                InOut := "ObjValveModulating".InOut[#_CAV_00106_001],
                Parameters:="ObjValveModulating".Parameters[#_CAV_00106_001],
                Statistics:="ObjValveModulating".Statistic[#_CAV_00106_001]);
</t>
  </si>
  <si>
    <t>"CAV_00106_001"</t>
  </si>
  <si>
    <t>_CAV_00106_001</t>
  </si>
  <si>
    <t>CAV_00107_001</t>
  </si>
  <si>
    <t xml:space="preserve">#CAV_00107_001(Object := "HVAC_R00107".CAV_00107_001,
                InOut := "ObjValveModulating".InOut[#_CAV_00107_001],
                Parameters:="ObjValveModulating".Parameters[#_CAV_00107_001],
                Statistics:="ObjValveModulating".Statistic[#_CAV_00107_001]);
</t>
  </si>
  <si>
    <t>"CAV_00107_001"</t>
  </si>
  <si>
    <t>_CAV_00107_001</t>
  </si>
  <si>
    <t>CAV_00108_001</t>
  </si>
  <si>
    <t xml:space="preserve">#CAV_00108_001(Object := "HVAC_R00108".CAV_00108_001,
                InOut := "ObjValveModulating".InOut[#_CAV_00108_001],
                Parameters:="ObjValveModulating".Parameters[#_CAV_00108_001],
                Statistics:="ObjValveModulating".Statistic[#_CAV_00108_001]);
</t>
  </si>
  <si>
    <t>"CAV_00108_001"</t>
  </si>
  <si>
    <t>_CAV_00108_001</t>
  </si>
  <si>
    <t>CAV_00109_001</t>
  </si>
  <si>
    <t xml:space="preserve">#CAV_00109_001(Object := "HVAC_R00109".CAV_00109_001,
                InOut := "ObjValveModulating".InOut[#_CAV_00109_001],
                Parameters:="ObjValveModulating".Parameters[#_CAV_00109_001],
                Statistics:="ObjValveModulating".Statistic[#_CAV_00109_001]);
</t>
  </si>
  <si>
    <t>"CAV_00109_001"</t>
  </si>
  <si>
    <t>_CAV_00109_001</t>
  </si>
  <si>
    <t>CAV_00110_001</t>
  </si>
  <si>
    <t xml:space="preserve">#CAV_00110_001(Object := "HVAC_R00110".CAV_00110_001,
                InOut := "ObjValveModulating".InOut[#_CAV_00110_001],
                Parameters:="ObjValveModulating".Parameters[#_CAV_00110_001],
                Statistics:="ObjValveModulating".Statistic[#_CAV_00110_001]);
</t>
  </si>
  <si>
    <t>"CAV_00110_001"</t>
  </si>
  <si>
    <t>_CAV_00110_001</t>
  </si>
  <si>
    <t>CAV_00111_001</t>
  </si>
  <si>
    <t xml:space="preserve">#CAV_00111_001(Object := "HVAC_R00111".CAV_00111_001,
                InOut := "ObjValveModulating".InOut[#_CAV_00111_001],
                Parameters:="ObjValveModulating".Parameters[#_CAV_00111_001],
                Statistics:="ObjValveModulating".Statistic[#_CAV_00111_001]);
</t>
  </si>
  <si>
    <t>"CAV_00111_001"</t>
  </si>
  <si>
    <t>_CAV_00111_001</t>
  </si>
  <si>
    <t>CAV_00113_001</t>
  </si>
  <si>
    <t xml:space="preserve">#CAV_00113_001(Object := "HVAC_R00113".CAV_00113_001,
                InOut := "ObjValveModulating".InOut[#_CAV_00113_001],
                Parameters:="ObjValveModulating".Parameters[#_CAV_00113_001],
                Statistics:="ObjValveModulating".Statistic[#_CAV_00113_001]);
</t>
  </si>
  <si>
    <t>"CAV_00113_001"</t>
  </si>
  <si>
    <t>_CAV_00113_001</t>
  </si>
  <si>
    <t>CAV_00114_001</t>
  </si>
  <si>
    <t xml:space="preserve">#CAV_00114_001(Object := "HVAC_R00114".CAV_00114_001,
                InOut := "ObjValveModulating".InOut[#_CAV_00114_001],
                Parameters:="ObjValveModulating".Parameters[#_CAV_00114_001],
                Statistics:="ObjValveModulating".Statistic[#_CAV_00114_001]);
</t>
  </si>
  <si>
    <t>"CAV_00114_001"</t>
  </si>
  <si>
    <t>_CAV_00114_001</t>
  </si>
  <si>
    <t>CAV_00115_001</t>
  </si>
  <si>
    <t xml:space="preserve">#CAV_00115_001(Object := "HVAC_R00115".CAV_00115_001,
                InOut := "ObjValveModulating".InOut[#_CAV_00115_001],
                Parameters:="ObjValveModulating".Parameters[#_CAV_00115_001],
                Statistics:="ObjValveModulating".Statistic[#_CAV_00115_001]);
</t>
  </si>
  <si>
    <t>"CAV_00115_001"</t>
  </si>
  <si>
    <t>_CAV_00115_001</t>
  </si>
  <si>
    <t>CAV_00116_001</t>
  </si>
  <si>
    <t xml:space="preserve">#CAV_00116_001(Object := "HVAC_R00116".CAV_00116_001,
                InOut := "ObjValveModulating".InOut[#_CAV_00116_001],
                Parameters:="ObjValveModulating".Parameters[#_CAV_00116_001],
                Statistics:="ObjValveModulating".Statistic[#_CAV_00116_001]);
</t>
  </si>
  <si>
    <t>"CAV_00116_001"</t>
  </si>
  <si>
    <t>_CAV_00116_001</t>
  </si>
  <si>
    <t>VAV_00101_001</t>
  </si>
  <si>
    <t xml:space="preserve">#VAV_00101_001(Object := "HVAC_R00101".VAV_00101_001,
                InOut := "ObjValveModulating".InOut[#_VAV_00101_001],
                Parameters:="ObjValveModulating".Parameters[#_VAV_00101_001],
                Statistics:="ObjValveModulating".Statistic[#_VAV_00101_001]);
</t>
  </si>
  <si>
    <t>"VAV_00101_001"</t>
  </si>
  <si>
    <t>_VAV_00101_001</t>
  </si>
  <si>
    <t>VAV_00102_001</t>
  </si>
  <si>
    <t xml:space="preserve">#VAV_00102_001(Object := "HVAC_R00102".VAV_00102_001,
                InOut := "ObjValveModulating".InOut[#_VAV_00102_001],
                Parameters:="ObjValveModulating".Parameters[#_VAV_00102_001],
                Statistics:="ObjValveModulating".Statistic[#_VAV_00102_001]);
</t>
  </si>
  <si>
    <t>"VAV_00102_001"</t>
  </si>
  <si>
    <t>_VAV_00102_001</t>
  </si>
  <si>
    <t>VAV_00103_001</t>
  </si>
  <si>
    <t xml:space="preserve">#VAV_00103_001(Object := "HVAC_R00103".VAV_00103_001,
                InOut := "ObjValveModulating".InOut[#_VAV_00103_001],
                Parameters:="ObjValveModulating".Parameters[#_VAV_00103_001],
                Statistics:="ObjValveModulating".Statistic[#_VAV_00103_001]);
</t>
  </si>
  <si>
    <t>"VAV_00103_001"</t>
  </si>
  <si>
    <t>_VAV_00103_001</t>
  </si>
  <si>
    <t>VAV_00104_001</t>
  </si>
  <si>
    <t xml:space="preserve">#VAV_00104_001(Object := "HVAC_R00104".VAV_00104_001,
                InOut := "ObjValveModulating".InOut[#_VAV_00104_001],
                Parameters:="ObjValveModulating".Parameters[#_VAV_00104_001],
                Statistics:="ObjValveModulating".Statistic[#_VAV_00104_001]);
</t>
  </si>
  <si>
    <t>"VAV_00104_001"</t>
  </si>
  <si>
    <t>_VAV_00104_001</t>
  </si>
  <si>
    <t>VAV_00105_001</t>
  </si>
  <si>
    <t xml:space="preserve">#VAV_00105_001(Object := "HVAC_R00105".VAV_00105_001,
                InOut := "ObjValveModulating".InOut[#_VAV_00105_001],
                Parameters:="ObjValveModulating".Parameters[#_VAV_00105_001],
                Statistics:="ObjValveModulating".Statistic[#_VAV_00105_001]);
</t>
  </si>
  <si>
    <t>"VAV_00105_001"</t>
  </si>
  <si>
    <t>_VAV_00105_001</t>
  </si>
  <si>
    <t>VAV_00106_001</t>
  </si>
  <si>
    <t xml:space="preserve">#VAV_00106_001(Object := "HVAC_R00106".VAV_00106_001,
                InOut := "ObjValveModulating".InOut[#_VAV_00106_001],
                Parameters:="ObjValveModulating".Parameters[#_VAV_00106_001],
                Statistics:="ObjValveModulating".Statistic[#_VAV_00106_001]);
</t>
  </si>
  <si>
    <t>"VAV_00106_001"</t>
  </si>
  <si>
    <t>_VAV_00106_001</t>
  </si>
  <si>
    <t>VAV_00107_001</t>
  </si>
  <si>
    <t xml:space="preserve">#VAV_00107_001(Object := "HVAC_R00107".VAV_00107_001,
                InOut := "ObjValveModulating".InOut[#_VAV_00107_001],
                Parameters:="ObjValveModulating".Parameters[#_VAV_00107_001],
                Statistics:="ObjValveModulating".Statistic[#_VAV_00107_001]);
</t>
  </si>
  <si>
    <t>"VAV_00107_001"</t>
  </si>
  <si>
    <t>_VAV_00107_001</t>
  </si>
  <si>
    <t>VAV_00108_001</t>
  </si>
  <si>
    <t xml:space="preserve">#VAV_00108_001(Object := "HVAC_R00108".VAV_00108_001,
                InOut := "ObjValveModulating".InOut[#_VAV_00108_001],
                Parameters:="ObjValveModulating".Parameters[#_VAV_00108_001],
                Statistics:="ObjValveModulating".Statistic[#_VAV_00108_001]);
</t>
  </si>
  <si>
    <t>"VAV_00108_001"</t>
  </si>
  <si>
    <t>_VAV_00108_001</t>
  </si>
  <si>
    <t>VAV_00109_001</t>
  </si>
  <si>
    <t xml:space="preserve">#VAV_00109_001(Object := "HVAC_R00109".VAV_00109_001,
                InOut := "ObjValveModulating".InOut[#_VAV_00109_001],
                Parameters:="ObjValveModulating".Parameters[#_VAV_00109_001],
                Statistics:="ObjValveModulating".Statistic[#_VAV_00109_001]);
</t>
  </si>
  <si>
    <t>"VAV_00109_001"</t>
  </si>
  <si>
    <t>_VAV_00109_001</t>
  </si>
  <si>
    <t>VAV_00110_001</t>
  </si>
  <si>
    <t xml:space="preserve">#VAV_00110_001(Object := "HVAC_R00110".VAV_00110_001,
                InOut := "ObjValveModulating".InOut[#_VAV_00110_001],
                Parameters:="ObjValveModulating".Parameters[#_VAV_00110_001],
                Statistics:="ObjValveModulating".Statistic[#_VAV_00110_001]);
</t>
  </si>
  <si>
    <t>"VAV_00110_001"</t>
  </si>
  <si>
    <t>_VAV_00110_001</t>
  </si>
  <si>
    <t>VAV_00111_001</t>
  </si>
  <si>
    <t xml:space="preserve">#VAV_00111_001(Object := "HVAC_R00111".VAV_00111_001,
                InOut := "ObjValveModulating".InOut[#_VAV_00111_001],
                Parameters:="ObjValveModulating".Parameters[#_VAV_00111_001],
                Statistics:="ObjValveModulating".Statistic[#_VAV_00111_001]);
</t>
  </si>
  <si>
    <t>"VAV_00111_001"</t>
  </si>
  <si>
    <t>_VAV_00111_001</t>
  </si>
  <si>
    <t>VAV_00113_001</t>
  </si>
  <si>
    <t xml:space="preserve">#VAV_00113_001(Object := "HVAC_R00113".VAV_00113_001,
                InOut := "ObjValveModulating".InOut[#_VAV_00113_001],
                Parameters:="ObjValveModulating".Parameters[#_VAV_00113_001],
                Statistics:="ObjValveModulating".Statistic[#_VAV_00113_001]);
</t>
  </si>
  <si>
    <t>"VAV_00113_001"</t>
  </si>
  <si>
    <t>_VAV_00113_001</t>
  </si>
  <si>
    <t>VAV_00114_001</t>
  </si>
  <si>
    <t xml:space="preserve">#VAV_00114_001(Object := "HVAC_R00114".VAV_00114_001,
                InOut := "ObjValveModulating".InOut[#_VAV_00114_001],
                Parameters:="ObjValveModulating".Parameters[#_VAV_00114_001],
                Statistics:="ObjValveModulating".Statistic[#_VAV_00114_001]);
</t>
  </si>
  <si>
    <t>"VAV_00114_001"</t>
  </si>
  <si>
    <t>_VAV_00114_001</t>
  </si>
  <si>
    <t>VAV_00115_001</t>
  </si>
  <si>
    <t xml:space="preserve">#VAV_00115_001(Object := "HVAC_R00115".VAV_00115_001,
                InOut := "ObjValveModulating".InOut[#_VAV_00115_001],
                Parameters:="ObjValveModulating".Parameters[#_VAV_00115_001],
                Statistics:="ObjValveModulating".Statistic[#_VAV_00115_001]);
</t>
  </si>
  <si>
    <t>"VAV_00115_001"</t>
  </si>
  <si>
    <t>_VAV_00115_001</t>
  </si>
  <si>
    <t>VAV_00116_001</t>
  </si>
  <si>
    <t xml:space="preserve">#VAV_00116_001(Object := "HVAC_R00116".VAV_00116_001,
                InOut := "ObjValveModulating".InOut[#_VAV_00116_001],
                Parameters:="ObjValveModulating".Parameters[#_VAV_00116_001],
                Statistics:="ObjValveModulating".Statistic[#_VAV_00116_001]);
</t>
  </si>
  <si>
    <t>"VAV_00116_001"</t>
  </si>
  <si>
    <t>_VAV_00116_001</t>
  </si>
  <si>
    <t>CEM_SU01_001</t>
  </si>
  <si>
    <t xml:space="preserve">#CEM_SU01_001(Object := "HVAC_SU01".CEM_SU01_001,
                InOut := "ObjValveModulating".InOut[#_CEM_SU01_001],
                Parameters:="ObjValveModulating".Parameters[#_CEM_SU01_001],
                Statistics:="ObjValveModulating".Statistic[#_CEM_SU01_001]);
</t>
  </si>
  <si>
    <t>"CEM_SU01_001"</t>
  </si>
  <si>
    <t>_CEM_SU01_001</t>
  </si>
  <si>
    <t>CEM_SU01B_002</t>
  </si>
  <si>
    <t xml:space="preserve">#CEM_SU01B_002(Object := "HVAC_SU01B".CEM_SU01B_002,
                InOut := "ObjValveModulating".InOut[#_CEM_SU01B_002],
                Parameters:="ObjValveModulating".Parameters[#_CEM_SU01B_002],
                Statistics:="ObjValveModulating".Statistic[#_CEM_SU01B_002]);
</t>
  </si>
  <si>
    <t>"CEM_SU01B_002"</t>
  </si>
  <si>
    <t>_CEM_SU01B_002</t>
  </si>
  <si>
    <t>PICV_CLW_009</t>
  </si>
  <si>
    <t xml:space="preserve">#PICV_CLW_009(Object := "HVAC_SU01".PICV_CLW_009,
                InOut := "ObjValveModulating".InOut[#_PICV_CLW_009],
                Parameters:="ObjValveModulating".Parameters[#_PICV_CLW_009],
                Statistics:="ObjValveModulating".Statistic[#_PICV_CLW_009]);
</t>
  </si>
  <si>
    <t>"PICV_CLW_009"</t>
  </si>
  <si>
    <t>_PICV_CLW_009</t>
  </si>
  <si>
    <t>PICV_HW_001</t>
  </si>
  <si>
    <t xml:space="preserve">#PICV_HW_001(Object := "HVAC_SU01".PICV_HW_001,
                InOut := "ObjValveModulating".InOut[#_PICV_HW_001],
                Parameters:="ObjValveModulating".Parameters[#_PICV_HW_001],
                Statistics:="ObjValveModulating".Statistic[#_PICV_HW_001]);
</t>
  </si>
  <si>
    <t>"PICV_HW_001"</t>
  </si>
  <si>
    <t>_PICV_HW_001</t>
  </si>
  <si>
    <t>PICV_CLW_006</t>
  </si>
  <si>
    <t xml:space="preserve">#PICV_CLW_006(Object := "HVAC_SU01B".PICV_CLW_006,
                InOut := "ObjValveModulating".InOut[#_PICV_CLW_006],
                Parameters:="ObjValveModulating".Parameters[#_PICV_CLW_006],
                Statistics:="ObjValveModulating".Statistic[#_PICV_CLW_006]);
</t>
  </si>
  <si>
    <t>"PICV_CLW_006"</t>
  </si>
  <si>
    <t>_PICV_CLW_006</t>
  </si>
  <si>
    <t>PICV_CLW_001</t>
  </si>
  <si>
    <t xml:space="preserve">#PICV_CLW_001(Object := "HVAC_R00103".PICV_CLW_001,
                InOut := "ObjValveModulating".InOut[#_PICV_CLW_001],
                Parameters:="ObjValveModulating".Parameters[#_PICV_CLW_001],
                Statistics:="ObjValveModulating".Statistic[#_PICV_CLW_001]);
</t>
  </si>
  <si>
    <t>"PICV_CLW_001"</t>
  </si>
  <si>
    <t>_PICV_CLW_001</t>
  </si>
  <si>
    <t>PICV_CLW_002</t>
  </si>
  <si>
    <t xml:space="preserve">#PICV_CLW_002(Object := "HVAC_R00104".PICV_CLW_002,
                InOut := "ObjValveModulating".InOut[#_PICV_CLW_002],
                Parameters:="ObjValveModulating".Parameters[#_PICV_CLW_002],
                Statistics:="ObjValveModulating".Statistic[#_PICV_CLW_002]);
</t>
  </si>
  <si>
    <t>"PICV_CLW_002"</t>
  </si>
  <si>
    <t>_PICV_CLW_002</t>
  </si>
  <si>
    <t>PICV_CLW_003</t>
  </si>
  <si>
    <t xml:space="preserve">#PICV_CLW_003(Object := "HVAC_R00106".PICV_CLW_003,
                InOut := "ObjValveModulating".InOut[#_PICV_CLW_003],
                Parameters:="ObjValveModulating".Parameters[#_PICV_CLW_003],
                Statistics:="ObjValveModulating".Statistic[#_PICV_CLW_003]);
</t>
  </si>
  <si>
    <t>"PICV_CLW_003"</t>
  </si>
  <si>
    <t>_PICV_CLW_003</t>
  </si>
  <si>
    <t>PICV_CLW_004</t>
  </si>
  <si>
    <t xml:space="preserve">#PICV_CLW_004(Object := "HVAC_R00107".PICV_CLW_004,
                InOut := "ObjValveModulating".InOut[#_PICV_CLW_004],
                Parameters:="ObjValveModulating".Parameters[#_PICV_CLW_004],
                Statistics:="ObjValveModulating".Statistic[#_PICV_CLW_004]);
</t>
  </si>
  <si>
    <t>"PICV_CLW_004"</t>
  </si>
  <si>
    <t>_PICV_CLW_004</t>
  </si>
  <si>
    <t>PICV_CLW_007</t>
  </si>
  <si>
    <t xml:space="preserve">#PICV_CLW_007(Object := "HVAC_R00108".PICV_CLW_007,
                InOut := "ObjValveModulating".InOut[#_PICV_CLW_007],
                Parameters:="ObjValveModulating".Parameters[#_PICV_CLW_007],
                Statistics:="ObjValveModulating".Statistic[#_PICV_CLW_007]);
</t>
  </si>
  <si>
    <t>"PICV_CLW_007"</t>
  </si>
  <si>
    <t>_PICV_CLW_007</t>
  </si>
  <si>
    <t>PICV_CLW_008</t>
  </si>
  <si>
    <t xml:space="preserve">#PICV_CLW_008(Object := "HVAC_R00109".PICV_CLW_008,
                InOut := "ObjValveModulating".InOut[#_PICV_CLW_008],
                Parameters:="ObjValveModulating".Parameters[#_PICV_CLW_008],
                Statistics:="ObjValveModulating".Statistic[#_PICV_CLW_008]);
</t>
  </si>
  <si>
    <t>"PICV_CLW_008"</t>
  </si>
  <si>
    <t>_PICV_CLW_008</t>
  </si>
  <si>
    <t>PICV_CLW_010</t>
  </si>
  <si>
    <t xml:space="preserve">#PICV_CLW_010(Object := "HVAC_R00110".PICV_CLW_010,
                InOut := "ObjValveModulating".InOut[#_PICV_CLW_010],
                Parameters:="ObjValveModulating".Parameters[#_PICV_CLW_010],
                Statistics:="ObjValveModulating".Statistic[#_PICV_CLW_010]);
</t>
  </si>
  <si>
    <t>"PICV_CLW_010"</t>
  </si>
  <si>
    <t>_PICV_CLW_010</t>
  </si>
  <si>
    <t>PICV_CLW_005</t>
  </si>
  <si>
    <t xml:space="preserve">#PICV_CLW_005(Object := "HVAC_R00111".PICV_CLW_005,
                InOut := "ObjValveModulating".InOut[#_PICV_CLW_005],
                Parameters:="ObjValveModulating".Parameters[#_PICV_CLW_005],
                Statistics:="ObjValveModulating".Statistic[#_PICV_CLW_005]);
</t>
  </si>
  <si>
    <t>"PICV_CLW_005"</t>
  </si>
  <si>
    <t>_PICV_CLW_005</t>
  </si>
  <si>
    <t>PICV_CLW_011</t>
  </si>
  <si>
    <t xml:space="preserve">#PICV_CLW_011(Object := "HVAC_R00115".PICV_CLW_011,
                InOut := "ObjValveModulating".InOut[#_PICV_CLW_011],
                Parameters:="ObjValveModulating".Parameters[#_PICV_CLW_011],
                Statistics:="ObjValveModulating".Statistic[#_PICV_CLW_011]);
</t>
  </si>
  <si>
    <t>"PICV_CLW_011"</t>
  </si>
  <si>
    <t>_PICV_CLW_011</t>
  </si>
  <si>
    <t>VFD_SF1_SU01_001</t>
  </si>
  <si>
    <t xml:space="preserve">#VFD_SF1_SU01_001(Object := "HVAC_SU01".VFD_SF1_SU01_001,
                InOut := "ObjMotorModulating".InOut[#_VFD_SF1_SU01_001],
                Parameters:="ObjMotorModulating".Parameters[#_VFD_SF1_SU01_001],
                Statistics:="ObjMotorModulating".Statistic[#_VFD_SF1_SU01_001]);
</t>
  </si>
  <si>
    <t>"VFD_SF1_SU01_001"</t>
  </si>
  <si>
    <t>_VFD_SF1_SU01_001</t>
  </si>
  <si>
    <t>VFD_SF2_SU01_001</t>
  </si>
  <si>
    <t xml:space="preserve">#VFD_SF2_SU01_001(Object := "HVAC_SU01".VFD_SF2_SU01_001,
                InOut := "ObjMotorModulating".InOut[#_VFD_SF2_SU01_001],
                Parameters:="ObjMotorModulating".Parameters[#_VFD_SF2_SU01_001],
                Statistics:="ObjMotorModulating".Statistic[#_VFD_SF2_SU01_001]);
</t>
  </si>
  <si>
    <t>"VFD_SF2_SU01_001"</t>
  </si>
  <si>
    <t>_VFD_SF2_SU01_001</t>
  </si>
  <si>
    <t>VFD_EF1_SU01_001</t>
  </si>
  <si>
    <t xml:space="preserve">#VFD_EF1_SU01_001(Object := "HVAC_SU01".VFD_EF1_SU01_001,
                InOut := "ObjMotorModulating".InOut[#_VFD_EF1_SU01_001],
                Parameters:="ObjMotorModulating".Parameters[#_VFD_EF1_SU01_001],
                Statistics:="ObjMotorModulating".Statistic[#_VFD_EF1_SU01_001]);
</t>
  </si>
  <si>
    <t>"VFD_EF1_SU01_001"</t>
  </si>
  <si>
    <t>_VFD_EF1_SU01_001</t>
  </si>
  <si>
    <t>VFD_EF2_SU01_001</t>
  </si>
  <si>
    <t xml:space="preserve">#VFD_EF2_SU01_001(Object := "HVAC_SU01".VFD_EF2_SU01_001,
                InOut := "ObjMotorModulating".InOut[#_VFD_EF2_SU01_001],
                Parameters:="ObjMotorModulating".Parameters[#_VFD_EF2_SU01_001],
                Statistics:="ObjMotorModulating".Statistic[#_VFD_EF2_SU01_001]);
</t>
  </si>
  <si>
    <t>"VFD_EF2_SU01_001"</t>
  </si>
  <si>
    <t>_VFD_EF2_SU01_001</t>
  </si>
  <si>
    <t>VFD_SF1_SU01B_001</t>
  </si>
  <si>
    <t xml:space="preserve">#VFD_SF1_SU01B_001(Object := "HVAC_SU01B".VFD_SF1_SU01B_001,
                InOut := "ObjMotorModulating".InOut[#_VFD_SF1_SU01B_001],
                Parameters:="ObjMotorModulating".Parameters[#_VFD_SF1_SU01B_001],
                Statistics:="ObjMotorModulating".Statistic[#_VFD_SF1_SU01B_001]);
</t>
  </si>
  <si>
    <t>"VFD_SF1_SU01B_001"</t>
  </si>
  <si>
    <t>_VFD_SF1_SU01B_001</t>
  </si>
  <si>
    <t>VFD_EF1_SU01B_001</t>
  </si>
  <si>
    <t xml:space="preserve">#VFD_EF1_SU01B_001(Object := "HVAC_SU01B".VFD_EF1_SU01B_001,
                InOut := "ObjMotorModulating".InOut[#_VFD_EF1_SU01B_001],
                Parameters:="ObjMotorModulating".Parameters[#_VFD_EF1_SU01B_001],
                Statistics:="ObjMotorModulating".Statistic[#_VFD_EF1_SU01B_001]);
</t>
  </si>
  <si>
    <t>"VFD_EF1_SU01B_001"</t>
  </si>
  <si>
    <t>_VFD_EF1_SU01B_001</t>
  </si>
  <si>
    <t>VFD_FU_00103</t>
  </si>
  <si>
    <t xml:space="preserve">#VFD_FU_00103(Object := "HVAC_R00103".VFD_FU_00103,
                InOut := "ObjMotorModulating".InOut[#_VFD_FU_00103],
                Parameters:="ObjMotorModulating".Parameters[#_VFD_FU_00103],
                Statistics:="ObjMotorModulating".Statistic[#_VFD_FU_00103]);
</t>
  </si>
  <si>
    <t>"VFD_FU_00103"</t>
  </si>
  <si>
    <t>_VFD_FU_00103</t>
  </si>
  <si>
    <t>VFD_FU_00104</t>
  </si>
  <si>
    <t xml:space="preserve">#VFD_FU_00104(Object := "HVAC_R00104".VFD_FU_00104,
                InOut := "ObjMotorModulating".InOut[#_VFD_FU_00104],
                Parameters:="ObjMotorModulating".Parameters[#_VFD_FU_00104],
                Statistics:="ObjMotorModulating".Statistic[#_VFD_FU_00104]);
</t>
  </si>
  <si>
    <t>"VFD_FU_00104"</t>
  </si>
  <si>
    <t>_VFD_FU_00104</t>
  </si>
  <si>
    <t>VFD_FU_00115</t>
  </si>
  <si>
    <t xml:space="preserve">#VFD_FU_00115(Object := "HVAC_R00115".VFD_FU_00115,
                InOut := "ObjMotorModulating".InOut[#_VFD_FU_00115],
                Parameters:="ObjMotorModulating".Parameters[#_VFD_FU_00115],
                Statistics:="ObjMotorModulating".Statistic[#_VFD_FU_00115]);
</t>
  </si>
  <si>
    <t>"VFD_FU_00115"</t>
  </si>
  <si>
    <t>_VFD_FU_00115</t>
  </si>
  <si>
    <t>PDS_F1_SU01_001</t>
  </si>
  <si>
    <t xml:space="preserve">#PDS_F1_SU01_001(Object := "HVAC_SU01".PDS_F1_SU01_001,
                InOut := "ObjDigitalInput".InOut[#_PDS_F1_SU01_001],
                Parameters:="ObjDigitalInput".Parameters[#_PDS_F1_SU01_001]);
</t>
  </si>
  <si>
    <t>"PDS_F1_SU01_001"</t>
  </si>
  <si>
    <t>_PDS_F1_SU01_001</t>
  </si>
  <si>
    <t>PSH_SU01_001</t>
  </si>
  <si>
    <t xml:space="preserve">#PSH_SU01_001(Object := "HVAC_SU01".PSH_SU01_001,
                InOut := "ObjDigitalInput".InOut[#_PSH_SU01_001],
                Parameters:="ObjDigitalInput".Parameters[#_PSH_SU01_001]);
</t>
  </si>
  <si>
    <t>"PSH_SU01_001"</t>
  </si>
  <si>
    <t>_PSH_SU01_001</t>
  </si>
  <si>
    <t>PDS_F1_SU01B_001</t>
  </si>
  <si>
    <t xml:space="preserve">#PDS_F1_SU01B_001(Object := "HVAC_SU01B".PDS_F1_SU01B_001,
                InOut := "ObjDigitalInput".InOut[#_PDS_F1_SU01B_001],
                Parameters:="ObjDigitalInput".Parameters[#_PDS_F1_SU01B_001]);
</t>
  </si>
  <si>
    <t>"PDS_F1_SU01B_001"</t>
  </si>
  <si>
    <t>_PDS_F1_SU01B_001</t>
  </si>
  <si>
    <t>PSH_SU01B_001</t>
  </si>
  <si>
    <t xml:space="preserve">#PSH_SU01B_001(Object := "HVAC_SU01B".PSH_SU01B_001,
                InOut := "ObjDigitalInput".InOut[#_PSH_SU01B_001],
                Parameters:="ObjDigitalInput".Parameters[#_PSH_SU01B_001]);
</t>
  </si>
  <si>
    <t>"PSH_SU01B_001"</t>
  </si>
  <si>
    <t>_PSH_SU01B_001</t>
  </si>
  <si>
    <t>PSH_00116_001</t>
  </si>
  <si>
    <t xml:space="preserve">#PSH_00116_001(Object := "HVAC_R00116".PSH_00116_001,
                InOut := "ObjDigitalInput".InOut[#_PSH_00116_001],
                Parameters:="ObjDigitalInput".Parameters[#_PSH_00116_001]);
</t>
  </si>
  <si>
    <t>"PSH_00116_001"</t>
  </si>
  <si>
    <t>_PSH_00116_001</t>
  </si>
  <si>
    <t>PSL_00116_001</t>
  </si>
  <si>
    <t xml:space="preserve">#PSL_00116_001(Object := "HVAC_R00116".PSL_00116_001,
                InOut := "ObjDigitalInput".InOut[#_PSL_00116_001],
                Parameters:="ObjDigitalInput".Parameters[#_PSL_00116_001]);
</t>
  </si>
  <si>
    <t>"PSL_00116_001"</t>
  </si>
  <si>
    <t>_PSL_00116_001</t>
  </si>
  <si>
    <t>PSH_00112_001</t>
  </si>
  <si>
    <t xml:space="preserve">#PSH_00112_001(Object := "HVAC_R00112".PSH_00112_001,
                InOut := "ObjDigitalInput".InOut[#_PSH_00112_001],
                Parameters:="ObjDigitalInput".Parameters[#_PSH_00112_001]);
</t>
  </si>
  <si>
    <t>"PSH_00112_001"</t>
  </si>
  <si>
    <t>_PSH_00112_001</t>
  </si>
  <si>
    <t>PSL_00112_001</t>
  </si>
  <si>
    <t xml:space="preserve">#PSL_00112_001(Object := "HVAC_R00112".PSL_00112_001,
                InOut := "ObjDigitalInput".InOut[#_PSL_00112_001],
                Parameters:="ObjDigitalInput".Parameters[#_PSL_00112_001]);
</t>
  </si>
  <si>
    <t>"PSL_00112_001"</t>
  </si>
  <si>
    <t>_PSL_00112_001</t>
  </si>
  <si>
    <t>LS_SU01_001</t>
  </si>
  <si>
    <t xml:space="preserve">#LS_SU01_001(Object := "HVAC_SU01".LS_SU01_001,
                InOut := "ObjDigitalInput".InOut[#_LS_SU01_001],
                Parameters:="ObjDigitalInput".Parameters[#_LS_SU01_001]);
</t>
  </si>
  <si>
    <t>"LS_SU01_001"</t>
  </si>
  <si>
    <t>_LS_SU01_001</t>
  </si>
  <si>
    <t>LS_CC_00103</t>
  </si>
  <si>
    <t xml:space="preserve">#LS_CC_00103(Object := "HVAC_R00103".LS_CC_00103,
                InOut := "ObjDigitalInput".InOut[#_LS_CC_00103],
                Parameters:="ObjDigitalInput".Parameters[#_LS_CC_00103]);
</t>
  </si>
  <si>
    <t>"LS_CC_00103"</t>
  </si>
  <si>
    <t>_LS_CC_00103</t>
  </si>
  <si>
    <t>LS_CC_00104</t>
  </si>
  <si>
    <t xml:space="preserve">#LS_CC_00104(Object := "HVAC_R00104".LS_CC_00104,
                InOut := "ObjDigitalInput".InOut[#_LS_CC_00104],
                Parameters:="ObjDigitalInput".Parameters[#_LS_CC_00104]);
</t>
  </si>
  <si>
    <t>"LS_CC_00104"</t>
  </si>
  <si>
    <t>_LS_CC_00104</t>
  </si>
  <si>
    <t>LS_CC_00115</t>
  </si>
  <si>
    <t xml:space="preserve">#LS_CC_00115(Object := "HVAC_R00115".LS_CC_00115,
                InOut := "ObjDigitalInput".InOut[#_LS_CC_00115],
                Parameters:="ObjDigitalInput".Parameters[#_LS_CC_00115]);
</t>
  </si>
  <si>
    <t>"LS_CC_00115"</t>
  </si>
  <si>
    <t>_LS_CC_00115</t>
  </si>
  <si>
    <t>LS_CC_00106</t>
  </si>
  <si>
    <t xml:space="preserve">#LS_CC_00106(Object := "HVAC_R00106".LS_CC_00106,
                InOut := "ObjDigitalInput".InOut[#_LS_CC_00106],
                Parameters:="ObjDigitalInput".Parameters[#_LS_CC_00106]);
</t>
  </si>
  <si>
    <t>"LS_CC_00106"</t>
  </si>
  <si>
    <t>_LS_CC_00106</t>
  </si>
  <si>
    <t>LS_CC_00107</t>
  </si>
  <si>
    <t xml:space="preserve">#LS_CC_00107(Object := "HVAC_R00107".LS_CC_00107,
                InOut := "ObjDigitalInput".InOut[#_LS_CC_00107],
                Parameters:="ObjDigitalInput".Parameters[#_LS_CC_00107]);
</t>
  </si>
  <si>
    <t>"LS_CC_00107"</t>
  </si>
  <si>
    <t>_LS_CC_00107</t>
  </si>
  <si>
    <t>LS_CC_00108</t>
  </si>
  <si>
    <t xml:space="preserve">#LS_CC_00108(Object := "HVAC_R00108".LS_CC_00108,
                InOut := "ObjDigitalInput".InOut[#_LS_CC_00108],
                Parameters:="ObjDigitalInput".Parameters[#_LS_CC_00108]);
</t>
  </si>
  <si>
    <t>"LS_CC_00108"</t>
  </si>
  <si>
    <t>_LS_CC_00108</t>
  </si>
  <si>
    <t>LS_CC_00109</t>
  </si>
  <si>
    <t xml:space="preserve">#LS_CC_00109(Object := "HVAC_R00109".LS_CC_00109,
                InOut := "ObjDigitalInput".InOut[#_LS_CC_00109],
                Parameters:="ObjDigitalInput".Parameters[#_LS_CC_00109]);
</t>
  </si>
  <si>
    <t>"LS_CC_00109"</t>
  </si>
  <si>
    <t>_LS_CC_00109</t>
  </si>
  <si>
    <t>LS_CC_00110</t>
  </si>
  <si>
    <t xml:space="preserve">#LS_CC_00110(Object := "HVAC_R00110".LS_CC_00110,
                InOut := "ObjDigitalInput".InOut[#_LS_CC_00110],
                Parameters:="ObjDigitalInput".Parameters[#_LS_CC_00110]);
</t>
  </si>
  <si>
    <t>"LS_CC_00110"</t>
  </si>
  <si>
    <t>_LS_CC_00110</t>
  </si>
  <si>
    <t>LS_CC_00111</t>
  </si>
  <si>
    <t xml:space="preserve">#LS_CC_00111(Object := "HVAC_R00111".LS_CC_00111,
                InOut := "ObjDigitalInput".InOut[#_LS_CC_00111],
                Parameters:="ObjDigitalInput".Parameters[#_LS_CC_00111]);
</t>
  </si>
  <si>
    <t>"LS_CC_00111"</t>
  </si>
  <si>
    <t>_LS_CC_00111</t>
  </si>
  <si>
    <t>PWR_SU01</t>
  </si>
  <si>
    <t xml:space="preserve">#PWR_SU01(Object := "HVAC_SU01".PWR_SU01,
                InOut := "ObjDigitalInput".InOut[#_PWR_SU01],
                Parameters:="ObjDigitalInput".Parameters[#_PWR_SU01]);
</t>
  </si>
  <si>
    <t>"PWR_SU01"</t>
  </si>
  <si>
    <t>_PWR_SU01</t>
  </si>
  <si>
    <t>MICRO_SU01</t>
  </si>
  <si>
    <t xml:space="preserve">#MICRO_SU01(Object := "HVAC_SU01".MICRO_SU01,
                InOut := "ObjDigitalInput".InOut[#_MICRO_SU01],
                Parameters:="ObjDigitalInput".Parameters[#_MICRO_SU01]);
</t>
  </si>
  <si>
    <t>"MICRO_SU01"</t>
  </si>
  <si>
    <t>_MICRO_SU01</t>
  </si>
  <si>
    <t>ES_SU01</t>
  </si>
  <si>
    <t xml:space="preserve">#ES_SU01(Object := "HVAC_SU01".ES_SU01,
                InOut := "ObjDigitalInput".InOut[#_ES_SU01],
                Parameters:="ObjDigitalInput".Parameters[#_ES_SU01]);
</t>
  </si>
  <si>
    <t>"ES_SU01"</t>
  </si>
  <si>
    <t>_ES_SU01</t>
  </si>
  <si>
    <t>FC_SU01</t>
  </si>
  <si>
    <t xml:space="preserve">#FC_SU01(Object := "HVAC_SU01".FC_SU01,
                InOut := "ObjDigitalInput".InOut[#_FC_SU01],
                Parameters:="ObjDigitalInput".Parameters[#_FC_SU01]);
</t>
  </si>
  <si>
    <t>"FC_SU01"</t>
  </si>
  <si>
    <t>_FC_SU01</t>
  </si>
  <si>
    <t>PS24VAC_SU01</t>
  </si>
  <si>
    <t xml:space="preserve">#PS24VAC_SU01(Object := "HVAC_SU01".PS24VAC_SU01,
                InOut := "ObjDigitalInput".InOut[#_PS24VAC_SU01],
                Parameters:="ObjDigitalInput".Parameters[#_PS24VAC_SU01]);
</t>
  </si>
  <si>
    <t>"PS24VAC_SU01"</t>
  </si>
  <si>
    <t>_PS24VAC_SU01</t>
  </si>
  <si>
    <t>PS24VDC_SU01</t>
  </si>
  <si>
    <t xml:space="preserve">#PS24VDC_SU01(Object := "HVAC_SU01".PS24VDC_SU01,
                InOut := "ObjDigitalInput".InOut[#_PS24VDC_SU01],
                Parameters:="ObjDigitalInput".Parameters[#_PS24VDC_SU01]);
</t>
  </si>
  <si>
    <t>"PS24VDC_SU01"</t>
  </si>
  <si>
    <t>_PS24VDC_SU01</t>
  </si>
  <si>
    <t>PWR_SU01B</t>
  </si>
  <si>
    <t xml:space="preserve">#PWR_SU01B(Object := "HVAC_SU01B".PWR_SU01B,
                InOut := "ObjDigitalInput".InOut[#_PWR_SU01B],
                Parameters:="ObjDigitalInput".Parameters[#_PWR_SU01B]);
</t>
  </si>
  <si>
    <t>"PWR_SU01B"</t>
  </si>
  <si>
    <t>_PWR_SU01B</t>
  </si>
  <si>
    <t>MICRO_SU01B</t>
  </si>
  <si>
    <t xml:space="preserve">#MICRO_SU01B(Object := "HVAC_SU01B".MICRO_SU01B,
                InOut := "ObjDigitalInput".InOut[#_MICRO_SU01B],
                Parameters:="ObjDigitalInput".Parameters[#_MICRO_SU01B]);
</t>
  </si>
  <si>
    <t>"MICRO_SU01B"</t>
  </si>
  <si>
    <t>_MICRO_SU01B</t>
  </si>
  <si>
    <t>ES_SU01B</t>
  </si>
  <si>
    <t xml:space="preserve">#ES_SU01B(Object := "HVAC_SU01B".ES_SU01B,
                InOut := "ObjDigitalInput".InOut[#_ES_SU01B],
                Parameters:="ObjDigitalInput".Parameters[#_ES_SU01B]);
</t>
  </si>
  <si>
    <t>"ES_SU01B"</t>
  </si>
  <si>
    <t>_ES_SU01B</t>
  </si>
  <si>
    <t>FC_SU01B</t>
  </si>
  <si>
    <t xml:space="preserve">#FC_SU01B(Object := "HVAC_SU01B".FC_SU01B,
                InOut := "ObjDigitalInput".InOut[#_FC_SU01B],
                Parameters:="ObjDigitalInput".Parameters[#_FC_SU01B]);
</t>
  </si>
  <si>
    <t>"FC_SU01B"</t>
  </si>
  <si>
    <t>_FC_SU01B</t>
  </si>
  <si>
    <t>PS24VAC_SU01B</t>
  </si>
  <si>
    <t xml:space="preserve">#PS24VAC_SU01B(Object := "HVAC_SU01B".PS24VAC_SU01B,
                InOut := "ObjDigitalInput".InOut[#_PS24VAC_SU01B],
                Parameters:="ObjDigitalInput".Parameters[#_PS24VAC_SU01B]);
</t>
  </si>
  <si>
    <t>"PS24VAC_SU01B"</t>
  </si>
  <si>
    <t>_PS24VAC_SU01B</t>
  </si>
  <si>
    <t>PS24VDC_SU01B</t>
  </si>
  <si>
    <t xml:space="preserve">#PS24VDC_SU01B(Object := "HVAC_SU01B".PS24VDC_SU01B,
                InOut := "ObjDigitalInput".InOut[#_PS24VDC_SU01B],
                Parameters:="ObjDigitalInput".Parameters[#_PS24VDC_SU01B]);
</t>
  </si>
  <si>
    <t>"PS24VDC_SU01B"</t>
  </si>
  <si>
    <t>_PS24VDC_SU01B</t>
  </si>
  <si>
    <t>SA_PC_SU01_001</t>
  </si>
  <si>
    <t xml:space="preserve">#SA_PC_SU01_001(Object := "HVAC_SU01".SA_PC_SU01_001,
                InOut := "ObjContPID".InOut[#_SA_PC_SU01_001],
                Parameters:="ObjContPID".Parameters[#_SA_PC_SU01_001]);
</t>
  </si>
  <si>
    <t>"SA_PC_SU01_001"</t>
  </si>
  <si>
    <t>_SA_PC_SU01_001</t>
  </si>
  <si>
    <t>RA_PC_SU01_001</t>
  </si>
  <si>
    <t xml:space="preserve">#RA_PC_SU01_001(Object := "HVAC_SU01".RA_PC_SU01_001,
                InOut := "ObjContPID".InOut[#_RA_PC_SU01_001],
                Parameters:="ObjContPID".Parameters[#_RA_PC_SU01_001]);
</t>
  </si>
  <si>
    <t>"RA_PC_SU01_001"</t>
  </si>
  <si>
    <t>_RA_PC_SU01_001</t>
  </si>
  <si>
    <t>MTR_TC_SU01_001</t>
  </si>
  <si>
    <t xml:space="preserve">#MTR_TC_SU01_001(Object := "HVAC_SU01".MTR_TC_SU01_001,
                InOut := "ObjContPID".InOut[#_MTR_TC_SU01_001],
                Parameters:="ObjContPID".Parameters[#_MTR_TC_SU01_001]);
</t>
  </si>
  <si>
    <t>"MTR_TC_SU01_001"</t>
  </si>
  <si>
    <t>_MTR_TC_SU01_001</t>
  </si>
  <si>
    <t>HTG_TC_SU01_001</t>
  </si>
  <si>
    <t xml:space="preserve">#HTG_TC_SU01_001(Object := "HVAC_SU01".HTG_TC_SU01_001,
                InOut := "ObjContPID".InOut[#_HTG_TC_SU01_001],
                Parameters:="ObjContPID".Parameters[#_HTG_TC_SU01_001]);
</t>
  </si>
  <si>
    <t>"HTG_TC_SU01_001"</t>
  </si>
  <si>
    <t>_HTG_TC_SU01_001</t>
  </si>
  <si>
    <t>CLG_TC_SU01_001</t>
  </si>
  <si>
    <t xml:space="preserve">#CLG_TC_SU01_001(Object := "HVAC_SU01".CLG_TC_SU01_001,
                InOut := "ObjContPID".InOut[#_CLG_TC_SU01_001],
                Parameters:="ObjContPID".Parameters[#_CLG_TC_SU01_001]);
</t>
  </si>
  <si>
    <t>"CLG_TC_SU01_001"</t>
  </si>
  <si>
    <t>_CLG_TC_SU01_001</t>
  </si>
  <si>
    <t>RMTR_TC_00106_001</t>
  </si>
  <si>
    <t xml:space="preserve">#RMTR_TC_00106_001(Object := "HVAC_R00106".RMTR_TC_00106_001,
                InOut := "ObjContPID".InOut[#_RMTR_TC_00106_001],
                Parameters:="ObjContPID".Parameters[#_RMTR_TC_00106_001]);
</t>
  </si>
  <si>
    <t>"RMTR_TC_00106_001"</t>
  </si>
  <si>
    <t>_RMTR_TC_00106_001</t>
  </si>
  <si>
    <t>RCLG_TC_00106_001</t>
  </si>
  <si>
    <t xml:space="preserve">#RCLG_TC_00106_001(Object := "HVAC_R00106".RCLG_TC_00106_001,
                InOut := "ObjContPID".InOut[#_RCLG_TC_00106_001],
                Parameters:="ObjContPID".Parameters[#_RCLG_TC_00106_001]);
</t>
  </si>
  <si>
    <t>"RCLG_TC_00106_001"</t>
  </si>
  <si>
    <t>_RCLG_TC_00106_001</t>
  </si>
  <si>
    <t>RMTR_TC_00107_001</t>
  </si>
  <si>
    <t xml:space="preserve">#RMTR_TC_00107_001(Object := "HVAC_R00107".RMTR_TC_00107_001,
                InOut := "ObjContPID".InOut[#_RMTR_TC_00107_001],
                Parameters:="ObjContPID".Parameters[#_RMTR_TC_00107_001]);
</t>
  </si>
  <si>
    <t>"RMTR_TC_00107_001"</t>
  </si>
  <si>
    <t>_RMTR_TC_00107_001</t>
  </si>
  <si>
    <t>RCLG_TC_00107_001</t>
  </si>
  <si>
    <t xml:space="preserve">#RCLG_TC_00107_001(Object := "HVAC_R00107".RCLG_TC_00107_001,
                InOut := "ObjContPID".InOut[#_RCLG_TC_00107_001],
                Parameters:="ObjContPID".Parameters[#_RCLG_TC_00107_001]);
</t>
  </si>
  <si>
    <t>"RCLG_TC_00107_001"</t>
  </si>
  <si>
    <t>_RCLG_TC_00107_001</t>
  </si>
  <si>
    <t>RMTR_TC_00108_001</t>
  </si>
  <si>
    <t xml:space="preserve">#RMTR_TC_00108_001(Object := "HVAC_R00108".RMTR_TC_00108_001,
                InOut := "ObjContPID".InOut[#_RMTR_TC_00108_001],
                Parameters:="ObjContPID".Parameters[#_RMTR_TC_00108_001]);
</t>
  </si>
  <si>
    <t>"RMTR_TC_00108_001"</t>
  </si>
  <si>
    <t>_RMTR_TC_00108_001</t>
  </si>
  <si>
    <t>RCLG_TC_00108_001</t>
  </si>
  <si>
    <t xml:space="preserve">#RCLG_TC_00108_001(Object := "HVAC_R00108".RCLG_TC_00108_001,
                InOut := "ObjContPID".InOut[#_RCLG_TC_00108_001],
                Parameters:="ObjContPID".Parameters[#_RCLG_TC_00108_001]);
</t>
  </si>
  <si>
    <t>"RCLG_TC_00108_001"</t>
  </si>
  <si>
    <t>_RCLG_TC_00108_001</t>
  </si>
  <si>
    <t>RMTR_TC_00109_001</t>
  </si>
  <si>
    <t xml:space="preserve">#RMTR_TC_00109_001(Object := "HVAC_R00109".RMTR_TC_00109_001,
                InOut := "ObjContPID".InOut[#_RMTR_TC_00109_001],
                Parameters:="ObjContPID".Parameters[#_RMTR_TC_00109_001]);
</t>
  </si>
  <si>
    <t>"RMTR_TC_00109_001"</t>
  </si>
  <si>
    <t>_RMTR_TC_00109_001</t>
  </si>
  <si>
    <t>RCLG_TC_00109_001</t>
  </si>
  <si>
    <t xml:space="preserve">#RCLG_TC_00109_001(Object := "HVAC_R00109".RCLG_TC_00109_001,
                InOut := "ObjContPID".InOut[#_RCLG_TC_00109_001],
                Parameters:="ObjContPID".Parameters[#_RCLG_TC_00109_001]);
</t>
  </si>
  <si>
    <t>"RCLG_TC_00109_001"</t>
  </si>
  <si>
    <t>_RCLG_TC_00109_001</t>
  </si>
  <si>
    <t>RMTR_TC_00110_001</t>
  </si>
  <si>
    <t xml:space="preserve">#RMTR_TC_00110_001(Object := "HVAC_R00110".RMTR_TC_00110_001,
                InOut := "ObjContPID".InOut[#_RMTR_TC_00110_001],
                Parameters:="ObjContPID".Parameters[#_RMTR_TC_00110_001]);
</t>
  </si>
  <si>
    <t>"RMTR_TC_00110_001"</t>
  </si>
  <si>
    <t>_RMTR_TC_00110_001</t>
  </si>
  <si>
    <t>RCLG_TC_00110_001</t>
  </si>
  <si>
    <t xml:space="preserve">#RCLG_TC_00110_001(Object := "HVAC_R00110".RCLG_TC_00110_001,
                InOut := "ObjContPID".InOut[#_RCLG_TC_00110_001],
                Parameters:="ObjContPID".Parameters[#_RCLG_TC_00110_001]);
</t>
  </si>
  <si>
    <t>"RCLG_TC_00110_001"</t>
  </si>
  <si>
    <t>_RCLG_TC_00110_001</t>
  </si>
  <si>
    <t>RMTR_TC_00111_001</t>
  </si>
  <si>
    <t xml:space="preserve">#RMTR_TC_00111_001(Object := "HVAC_R00111".RMTR_TC_00111_001,
                InOut := "ObjContPID".InOut[#_RMTR_TC_00111_001],
                Parameters:="ObjContPID".Parameters[#_RMTR_TC_00111_001]);
</t>
  </si>
  <si>
    <t>"RMTR_TC_00111_001"</t>
  </si>
  <si>
    <t>_RMTR_TC_00111_001</t>
  </si>
  <si>
    <t>RCLG_TC_00111_001</t>
  </si>
  <si>
    <t xml:space="preserve">#RCLG_TC_00111_001(Object := "HVAC_R00111".RCLG_TC_00111_001,
                InOut := "ObjContPID".InOut[#_RCLG_TC_00111_001],
                Parameters:="ObjContPID".Parameters[#_RCLG_TC_00111_001]);
</t>
  </si>
  <si>
    <t>"RCLG_TC_00111_001"</t>
  </si>
  <si>
    <t>_RCLG_TC_00111_001</t>
  </si>
  <si>
    <t>PC_00111_001</t>
  </si>
  <si>
    <t xml:space="preserve">#PC_00111_001(Object := "HVAC_R00111".PC_00111_001,
                InOut := "ObjContPID".InOut[#_PC_00111_001],
                Parameters:="ObjContPID".Parameters[#_PC_00111_001]);
</t>
  </si>
  <si>
    <t>"PC_00111_001"</t>
  </si>
  <si>
    <t>_PC_00111_001</t>
  </si>
  <si>
    <t>PC_00116_001</t>
  </si>
  <si>
    <t xml:space="preserve">#PC_00116_001(Object := "HVAC_R00116".PC_00116_001,
                InOut := "ObjContPID".InOut[#_PC_00116_001],
                Parameters:="ObjContPID".Parameters[#_PC_00116_001]);
</t>
  </si>
  <si>
    <t>"PC_00116_001"</t>
  </si>
  <si>
    <t>_PC_00116_001</t>
  </si>
  <si>
    <t>RCLG_TC_00103_001</t>
  </si>
  <si>
    <t xml:space="preserve">#RCLG_TC_00103_001(Object := "HVAC_R00103".RCLG_TC_00103_001,
                InOut := "ObjContPID".InOut[#_RCLG_TC_00103_001],
                Parameters:="ObjContPID".Parameters[#_RCLG_TC_00103_001]);
</t>
  </si>
  <si>
    <t>"RCLG_TC_00103_001"</t>
  </si>
  <si>
    <t>_RCLG_TC_00103_001</t>
  </si>
  <si>
    <t>PC_00103_001</t>
  </si>
  <si>
    <t xml:space="preserve">#PC_00103_001(Object := "HVAC_R00103".PC_00103_001,
                InOut := "ObjContPID".InOut[#_PC_00103_001],
                Parameters:="ObjContPID".Parameters[#_PC_00103_001]);
</t>
  </si>
  <si>
    <t>"PC_00103_001"</t>
  </si>
  <si>
    <t>_PC_00103_001</t>
  </si>
  <si>
    <t>FC_00103_001</t>
  </si>
  <si>
    <t xml:space="preserve">#FC_00103_001(Object := "HVAC_R00103".FC_00103_001,
                InOut := "ObjContPID".InOut[#_FC_00103_001],
                Parameters:="ObjContPID".Parameters[#_FC_00103_001]);
</t>
  </si>
  <si>
    <t>"FC_00103_001"</t>
  </si>
  <si>
    <t>_FC_00103_001</t>
  </si>
  <si>
    <t>RCLG_TC_00104_001</t>
  </si>
  <si>
    <t xml:space="preserve">#RCLG_TC_00104_001(Object := "HVAC_R00104".RCLG_TC_00104_001,
                InOut := "ObjContPID".InOut[#_RCLG_TC_00104_001],
                Parameters:="ObjContPID".Parameters[#_RCLG_TC_00104_001]);
</t>
  </si>
  <si>
    <t>"RCLG_TC_00104_001"</t>
  </si>
  <si>
    <t>_RCLG_TC_00104_001</t>
  </si>
  <si>
    <t>PC_00104_001</t>
  </si>
  <si>
    <t xml:space="preserve">#PC_00104_001(Object := "HVAC_R00104".PC_00104_001,
                InOut := "ObjContPID".InOut[#_PC_00104_001],
                Parameters:="ObjContPID".Parameters[#_PC_00104_001]);
</t>
  </si>
  <si>
    <t>"PC_00104_001"</t>
  </si>
  <si>
    <t>_PC_00104_001</t>
  </si>
  <si>
    <t>FC_00104_001</t>
  </si>
  <si>
    <t xml:space="preserve">#FC_00104_001(Object := "HVAC_R00104".FC_00104_001,
                InOut := "ObjContPID".InOut[#_FC_00104_001],
                Parameters:="ObjContPID".Parameters[#_FC_00104_001]);
</t>
  </si>
  <si>
    <t>"FC_00104_001"</t>
  </si>
  <si>
    <t>_FC_00104_001</t>
  </si>
  <si>
    <t>PC_00101_001</t>
  </si>
  <si>
    <t xml:space="preserve">#PC_00101_001(Object := "HVAC_R00101".PC_00101_001,
                InOut := "ObjContPID".InOut[#_PC_00101_001],
                Parameters:="ObjContPID".Parameters[#_PC_00101_001]);
</t>
  </si>
  <si>
    <t>"PC_00101_001"</t>
  </si>
  <si>
    <t>_PC_00101_001</t>
  </si>
  <si>
    <t>PC_00102_001</t>
  </si>
  <si>
    <t xml:space="preserve">#PC_00102_001(Object := "HVAC_R00102".PC_00102_001,
                InOut := "ObjContPID".InOut[#_PC_00102_001],
                Parameters:="ObjContPID".Parameters[#_PC_00102_001]);
</t>
  </si>
  <si>
    <t>"PC_00102_001"</t>
  </si>
  <si>
    <t>_PC_00102_001</t>
  </si>
  <si>
    <t>PC_00105_001</t>
  </si>
  <si>
    <t xml:space="preserve">#PC_00105_001(Object := "HVAC_R00105".PC_00105_001,
                InOut := "ObjContPID".InOut[#_PC_00105_001],
                Parameters:="ObjContPID".Parameters[#_PC_00105_001]);
</t>
  </si>
  <si>
    <t>"PC_00105_001"</t>
  </si>
  <si>
    <t>_PC_00105_001</t>
  </si>
  <si>
    <t>RCLG_TC_00115_001</t>
  </si>
  <si>
    <t xml:space="preserve">#RCLG_TC_00115_001(Object := "HVAC_R00115".RCLG_TC_00115_001,
                InOut := "ObjContPID".InOut[#_RCLG_TC_00115_001],
                Parameters:="ObjContPID".Parameters[#_RCLG_TC_00115_001]);
</t>
  </si>
  <si>
    <t>"RCLG_TC_00115_001"</t>
  </si>
  <si>
    <t>_RCLG_TC_00115_001</t>
  </si>
  <si>
    <t>PC_00115_001</t>
  </si>
  <si>
    <t xml:space="preserve">#PC_00115_001(Object := "HVAC_R00115".PC_00115_001,
                InOut := "ObjContPID".InOut[#_PC_00115_001],
                Parameters:="ObjContPID".Parameters[#_PC_00115_001]);
</t>
  </si>
  <si>
    <t>"PC_00115_001"</t>
  </si>
  <si>
    <t>_PC_00115_001</t>
  </si>
  <si>
    <t>FC_00115_001</t>
  </si>
  <si>
    <t xml:space="preserve">#FC_00115_001(Object := "HVAC_R00115".FC_00115_001,
                InOut := "ObjContPID".InOut[#_FC_00115_001],
                Parameters:="ObjContPID".Parameters[#_FC_00115_001]);
</t>
  </si>
  <si>
    <t>"FC_00115_001"</t>
  </si>
  <si>
    <t>_FC_00115_001</t>
  </si>
  <si>
    <t>PC_00113_001</t>
  </si>
  <si>
    <t xml:space="preserve">#PC_00113_001(Object := "HVAC_R00113".PC_00113_001,
                InOut := "ObjContPID".InOut[#_PC_00113_001],
                Parameters:="ObjContPID".Parameters[#_PC_00113_001]);
</t>
  </si>
  <si>
    <t>"PC_00113_001"</t>
  </si>
  <si>
    <t>_PC_00113_001</t>
  </si>
  <si>
    <t>PC_00114_001</t>
  </si>
  <si>
    <t xml:space="preserve">#PC_00114_001(Object := "HVAC_R00114".PC_00114_001,
                InOut := "ObjContPID".InOut[#_PC_00114_001],
                Parameters:="ObjContPID".Parameters[#_PC_00114_001]);
</t>
  </si>
  <si>
    <t>"PC_00114_001"</t>
  </si>
  <si>
    <t>_PC_00114_001</t>
  </si>
  <si>
    <t>PC_00112_001</t>
  </si>
  <si>
    <t xml:space="preserve">#PC_00112_001(Object := "HVAC_R00112".PC_00112_001,
                InOut := "ObjContPID".InOut[#_PC_00112_001],
                Parameters:="ObjContPID".Parameters[#_PC_00112_001]);
</t>
  </si>
  <si>
    <t>"PC_00112_001"</t>
  </si>
  <si>
    <t>_PC_00112_001</t>
  </si>
  <si>
    <t>FC_00112_001</t>
  </si>
  <si>
    <t xml:space="preserve">#FC_00112_001(Object := "HVAC_R00112".FC_00112_001,
                InOut := "ObjContPID".InOut[#_FC_00112_001],
                Parameters:="ObjContPID".Parameters[#_FC_00112_001]);
</t>
  </si>
  <si>
    <t>"FC_00112_001"</t>
  </si>
  <si>
    <t>_FC_00112_001</t>
  </si>
  <si>
    <t>MTR_TC_SU01B_001</t>
  </si>
  <si>
    <t xml:space="preserve">#MTR_TC_SU01B_001(Object := "HVAC_SU01B".MTR_TC_SU01B_001,
                InOut := "ObjContPID".InOut[#_MTR_TC_SU01B_001],
                Parameters:="ObjContPID".Parameters[#_MTR_TC_SU01B_001]);
</t>
  </si>
  <si>
    <t>"MTR_TC_SU01B_001"</t>
  </si>
  <si>
    <t>_MTR_TC_SU01B_001</t>
  </si>
  <si>
    <t>CLG_TC_SU01B_001</t>
  </si>
  <si>
    <t xml:space="preserve">#CLG_TC_SU01B_001(Object := "HVAC_SU01B".CLG_TC_SU01B_001,
                InOut := "ObjContPID".InOut[#_CLG_TC_SU01B_001],
                Parameters:="ObjContPID".Parameters[#_CLG_TC_SU01B_001]);
</t>
  </si>
  <si>
    <t>"CLG_TC_SU01B_001"</t>
  </si>
  <si>
    <t>_CLG_TC_SU01B_001</t>
  </si>
  <si>
    <t xml:space="preserve">#SU01(Object := "HVAC_SU01".SU01.InOut,
               InOut := "ObjUnit".InOut[#_SU01]);
</t>
  </si>
  <si>
    <t>"SU01"</t>
  </si>
  <si>
    <t>_SU01</t>
  </si>
  <si>
    <t xml:space="preserve">#SU01B(Object := "HVAC_SU01B".SU01B.InOut,
               InOut := "ObjUnit".InOut[#_SU01B]);
</t>
  </si>
  <si>
    <t>"SU01B"</t>
  </si>
  <si>
    <t>_SU01B</t>
  </si>
  <si>
    <t>DECONTA_SU01</t>
  </si>
  <si>
    <t xml:space="preserve">#DECONTA_SU01(Object := "HVAC_SU01".DECONTA_SU01.InOut,
               InOut := "ObjUnit".InOut[#_DECONTA_SU01]);
</t>
  </si>
  <si>
    <t>"DECONTA_SU01"</t>
  </si>
  <si>
    <t>_DECONTA_SU01</t>
  </si>
  <si>
    <t>DECONTA_SU01B</t>
  </si>
  <si>
    <t xml:space="preserve">#DECONTA_SU01B(Object := "HVAC_SU01B".DECONTA_SU01B.InOut,
               InOut := "ObjUnit".InOut[#_DECONTA_SU01B]);
</t>
  </si>
  <si>
    <t>"DECONTA_SU01B"</t>
  </si>
  <si>
    <t>_DECONTA_SU01B</t>
  </si>
  <si>
    <t>TM_00106_001</t>
  </si>
  <si>
    <t xml:space="preserve">#TM_00106_001(Object := "HVAC_R00106".TM_00106_001.InOut,
               InOut := "ObjTempManager".InOut[#_TM_00106_001]);
</t>
  </si>
  <si>
    <t>"TM_00106_001"</t>
  </si>
  <si>
    <t>_TM_00106_001</t>
  </si>
  <si>
    <t>TM_00107_001</t>
  </si>
  <si>
    <t xml:space="preserve">#TM_00107_001(Object := "HVAC_R00107".TM_00107_001.InOut,
               InOut := "ObjTempManager".InOut[#_TM_00107_001]);
</t>
  </si>
  <si>
    <t>"TM_00107_001"</t>
  </si>
  <si>
    <t>_TM_00107_001</t>
  </si>
  <si>
    <t>TM_00108_001</t>
  </si>
  <si>
    <t xml:space="preserve">#TM_00108_001(Object := "HVAC_R00108".TM_00108_001.InOut,
               InOut := "ObjTempManager".InOut[#_TM_00108_001]);
</t>
  </si>
  <si>
    <t>"TM_00108_001"</t>
  </si>
  <si>
    <t>_TM_00108_001</t>
  </si>
  <si>
    <t>TM_00109_001</t>
  </si>
  <si>
    <t xml:space="preserve">#TM_00109_001(Object := "HVAC_R00109".TM_00109_001.InOut,
               InOut := "ObjTempManager".InOut[#_TM_00109_001]);
</t>
  </si>
  <si>
    <t>"TM_00109_001"</t>
  </si>
  <si>
    <t>_TM_00109_001</t>
  </si>
  <si>
    <t>TM_00110_001</t>
  </si>
  <si>
    <t xml:space="preserve">#TM_00110_001(Object := "HVAC_R00110".TM_00110_001.InOut,
               InOut := "ObjTempManager".InOut[#_TM_00110_001]);
</t>
  </si>
  <si>
    <t>"TM_00110_001"</t>
  </si>
  <si>
    <t>_TM_00110_001</t>
  </si>
  <si>
    <t>TM_00111_001</t>
  </si>
  <si>
    <t xml:space="preserve">#TM_00111_001(Object := "HVAC_R00111".TM_00111_001.InOut,
               InOut := "ObjTempManager".InOut[#_TM_00111_001]);
</t>
  </si>
  <si>
    <t>"TM_00111_001"</t>
  </si>
  <si>
    <t>_TM_00111_001</t>
  </si>
  <si>
    <t>TM_SU01B_001</t>
  </si>
  <si>
    <t xml:space="preserve">#TM_SU01B_001(Object := "HVAC_SU01B".TM_SU01B_001.InOut,
               InOut := "ObjTempManager".InOut[#_TM_SU01B_001]);
</t>
  </si>
  <si>
    <t>"TM_SU01B_001"</t>
  </si>
  <si>
    <t>_TM_SU01B_001</t>
  </si>
  <si>
    <t>TM_00104_001</t>
  </si>
  <si>
    <t xml:space="preserve">#TM_00104_001(Object := "HVAC_R00104".TM_00104_001.InOut,
               InOut := "ObjTempManager".InOut[#_TM_00104_001]);
</t>
  </si>
  <si>
    <t>"TM_00104_001"</t>
  </si>
  <si>
    <t>_TM_00104_001</t>
  </si>
  <si>
    <t>TM_00115_001</t>
  </si>
  <si>
    <t xml:space="preserve">#TM_00115_001(Object := "HVAC_R00115".TM_00115_001.InOut,
               InOut := "ObjTempManager".InOut[#_TM_00115_001]);
</t>
  </si>
  <si>
    <t>"TM_00115_001"</t>
  </si>
  <si>
    <t>_TM_00115_001</t>
  </si>
  <si>
    <t>SU01_AnalogueMeasure</t>
  </si>
  <si>
    <t>SU01_Unit</t>
  </si>
  <si>
    <t>SU01B_AnalogueMeasure</t>
  </si>
  <si>
    <t>SU01B_Unit</t>
  </si>
  <si>
    <t>SU01_ValveOnOff</t>
  </si>
  <si>
    <t>SU01B_ValveOnOff</t>
  </si>
  <si>
    <t>SU01_ValveModulating</t>
  </si>
  <si>
    <t>SU01B_ValveModulating</t>
  </si>
  <si>
    <t>SU01_MotorModulating</t>
  </si>
  <si>
    <t>SU01B_MotorModulating</t>
  </si>
  <si>
    <t>SU01_DigitalInput</t>
  </si>
  <si>
    <t>SU01B_DigitalInput</t>
  </si>
  <si>
    <t xml:space="preserve">#SA_PC_SU01_001(cycle:=#cycle,
           reset:=#Unit.AHU.Command.General_reset,
           Process:=#Unit.SA_PC_SU01_001,
           InOut:="HVAC_SU01"."SA_PC_SU01_001".InOut,
           Parameters:="HVAC_SU01"."SA_PC_SU01_001".Parameters,
           Settings:="HVAC_SU01"."SA_PC_SU01_001".Settings);
</t>
  </si>
  <si>
    <t>SU01_ContPID</t>
  </si>
  <si>
    <t xml:space="preserve">#RA_PC_SU01_001(cycle:=#cycle,
           reset:=#Unit.AHU.Command.General_reset,
           Process:=#Unit.RA_PC_SU01_001,
           InOut:="HVAC_SU01"."RA_PC_SU01_001".InOut,
           Parameters:="HVAC_SU01"."RA_PC_SU01_001".Parameters,
           Settings:="HVAC_SU01"."RA_PC_SU01_001".Settings);
</t>
  </si>
  <si>
    <t xml:space="preserve">#MTR_TC_SU01_001(cycle:=#cycle,
           reset:=#Unit.AHU.Command.General_reset,
           Process:=#Unit.MTR_TC_SU01_001,
           InOut:="HVAC_SU01"."MTR_TC_SU01_001".InOut,
           Parameters:="HVAC_SU01"."MTR_TC_SU01_001".Parameters,
           Settings:="HVAC_SU01"."MTR_TC_SU01_001".Settings);
</t>
  </si>
  <si>
    <t xml:space="preserve">#HTG_TC_SU01_001(cycle:=#cycle,
           reset:=#Unit.AHU.Command.General_reset,
           Process:=#Unit.HTG_TC_SU01_001,
           InOut:="HVAC_SU01"."HTG_TC_SU01_001".InOut,
           Parameters:="HVAC_SU01"."HTG_TC_SU01_001".Parameters,
           Settings:="HVAC_SU01"."HTG_TC_SU01_001".Settings);
</t>
  </si>
  <si>
    <t xml:space="preserve">#CLG_TC_SU01_001(cycle:=#cycle,
           reset:=#Unit.AHU.Command.General_reset,
           Process:=#Unit.CLG_TC_SU01_001,
           InOut:="HVAC_SU01"."CLG_TC_SU01_001".InOut,
           Parameters:="HVAC_SU01"."CLG_TC_SU01_001".Parameters,
           Settings:="HVAC_SU01"."CLG_TC_SU01_001".Settings);
</t>
  </si>
  <si>
    <t xml:space="preserve">#RMTR_TC_00106_001(cycle:=#cycle,
           reset:=#Unit.AHU.Command.General_reset,
           Process:=#Unit.RMTR_TC_00106_001,
           InOut:="HVAC_R00106"."RMTR_TC_00106_001".InOut,
           Parameters:="HVAC_R00106"."RMTR_TC_00106_001".Parameters,
           Settings:="HVAC_R00106"."RMTR_TC_00106_001".Settings);
</t>
  </si>
  <si>
    <t xml:space="preserve">#RCLG_TC_00106_001(cycle:=#cycle,
           reset:=#Unit.AHU.Command.General_reset,
           Process:=#Unit.RCLG_TC_00106_001,
           InOut:="HVAC_R00106"."RCLG_TC_00106_001".InOut,
           Parameters:="HVAC_R00106"."RCLG_TC_00106_001".Parameters,
           Settings:="HVAC_R00106"."RCLG_TC_00106_001".Settings);
</t>
  </si>
  <si>
    <t xml:space="preserve">#RMTR_TC_00107_001(cycle:=#cycle,
           reset:=#Unit.AHU.Command.General_reset,
           Process:=#Unit.RMTR_TC_00107_001,
           InOut:="HVAC_R00107"."RMTR_TC_00107_001".InOut,
           Parameters:="HVAC_R00107"."RMTR_TC_00107_001".Parameters,
           Settings:="HVAC_R00107"."RMTR_TC_00107_001".Settings);
</t>
  </si>
  <si>
    <t xml:space="preserve">#RCLG_TC_00107_001(cycle:=#cycle,
           reset:=#Unit.AHU.Command.General_reset,
           Process:=#Unit.RCLG_TC_00107_001,
           InOut:="HVAC_R00107"."RCLG_TC_00107_001".InOut,
           Parameters:="HVAC_R00107"."RCLG_TC_00107_001".Parameters,
           Settings:="HVAC_R00107"."RCLG_TC_00107_001".Settings);
</t>
  </si>
  <si>
    <t xml:space="preserve">#RMTR_TC_00108_001(cycle:=#cycle,
           reset:=#Unit.AHU.Command.General_reset,
           Process:=#Unit.RMTR_TC_00108_001,
           InOut:="HVAC_R00108"."RMTR_TC_00108_001".InOut,
           Parameters:="HVAC_R00108"."RMTR_TC_00108_001".Parameters,
           Settings:="HVAC_R00108"."RMTR_TC_00108_001".Settings);
</t>
  </si>
  <si>
    <t xml:space="preserve">#RCLG_TC_00108_001(cycle:=#cycle,
           reset:=#Unit.AHU.Command.General_reset,
           Process:=#Unit.RCLG_TC_00108_001,
           InOut:="HVAC_R00108"."RCLG_TC_00108_001".InOut,
           Parameters:="HVAC_R00108"."RCLG_TC_00108_001".Parameters,
           Settings:="HVAC_R00108"."RCLG_TC_00108_001".Settings);
</t>
  </si>
  <si>
    <t xml:space="preserve">#RMTR_TC_00109_001(cycle:=#cycle,
           reset:=#Unit.AHU.Command.General_reset,
           Process:=#Unit.RMTR_TC_00109_001,
           InOut:="HVAC_R00109"."RMTR_TC_00109_001".InOut,
           Parameters:="HVAC_R00109"."RMTR_TC_00109_001".Parameters,
           Settings:="HVAC_R00109"."RMTR_TC_00109_001".Settings);
</t>
  </si>
  <si>
    <t xml:space="preserve">#RCLG_TC_00109_001(cycle:=#cycle,
           reset:=#Unit.AHU.Command.General_reset,
           Process:=#Unit.RCLG_TC_00109_001,
           InOut:="HVAC_R00109"."RCLG_TC_00109_001".InOut,
           Parameters:="HVAC_R00109"."RCLG_TC_00109_001".Parameters,
           Settings:="HVAC_R00109"."RCLG_TC_00109_001".Settings);
</t>
  </si>
  <si>
    <t xml:space="preserve">#RMTR_TC_00110_001(cycle:=#cycle,
           reset:=#Unit.AHU.Command.General_reset,
           Process:=#Unit.RMTR_TC_00110_001,
           InOut:="HVAC_R00110"."RMTR_TC_00110_001".InOut,
           Parameters:="HVAC_R00110"."RMTR_TC_00110_001".Parameters,
           Settings:="HVAC_R00110"."RMTR_TC_00110_001".Settings);
</t>
  </si>
  <si>
    <t xml:space="preserve">#RCLG_TC_00110_001(cycle:=#cycle,
           reset:=#Unit.AHU.Command.General_reset,
           Process:=#Unit.RCLG_TC_00110_001,
           InOut:="HVAC_R00110"."RCLG_TC_00110_001".InOut,
           Parameters:="HVAC_R00110"."RCLG_TC_00110_001".Parameters,
           Settings:="HVAC_R00110"."RCLG_TC_00110_001".Settings);
</t>
  </si>
  <si>
    <t xml:space="preserve">#RMTR_TC_00111_001(cycle:=#cycle,
           reset:=#Unit.AHU.Command.General_reset,
           Process:=#Unit.RMTR_TC_00111_001,
           InOut:="HVAC_R00111"."RMTR_TC_00111_001".InOut,
           Parameters:="HVAC_R00111"."RMTR_TC_00111_001".Parameters,
           Settings:="HVAC_R00111"."RMTR_TC_00111_001".Settings);
</t>
  </si>
  <si>
    <t xml:space="preserve">#RCLG_TC_00111_001(cycle:=#cycle,
           reset:=#Unit.AHU.Command.General_reset,
           Process:=#Unit.RCLG_TC_00111_001,
           InOut:="HVAC_R00111"."RCLG_TC_00111_001".InOut,
           Parameters:="HVAC_R00111"."RCLG_TC_00111_001".Parameters,
           Settings:="HVAC_R00111"."RCLG_TC_00111_001".Settings);
</t>
  </si>
  <si>
    <t xml:space="preserve">#PC_00111_001(cycle:=#cycle,
           reset:=#Unit.AHU.Command.General_reset,
           Process:=#Unit.PC_00111_001,
           InOut:="HVAC_R00111"."PC_00111_001".InOut,
           Parameters:="HVAC_R00111"."PC_00111_001".Parameters,
           Settings:="HVAC_R00111"."PC_00111_001".Settings);
</t>
  </si>
  <si>
    <t xml:space="preserve">#PC_00116_001(cycle:=#cycle,
           reset:=#Unit.AHU.Command.General_reset,
           Process:=#Unit.PC_00116_001,
           InOut:="HVAC_R00116"."PC_00116_001".InOut,
           Parameters:="HVAC_R00116"."PC_00116_001".Parameters,
           Settings:="HVAC_R00116"."PC_00116_001".Settings);
</t>
  </si>
  <si>
    <t xml:space="preserve">#RCLG_TC_00103_001(cycle:=#cycle,
           reset:=#Unit.AHU.Command.General_reset,
           Process:=#Unit.RCLG_TC_00103_001,
           InOut:="HVAC_R00103"."RCLG_TC_00103_001".InOut,
           Parameters:="HVAC_R00103"."RCLG_TC_00103_001".Parameters,
           Settings:="HVAC_R00103"."RCLG_TC_00103_001".Settings);
</t>
  </si>
  <si>
    <t xml:space="preserve">#PC_00103_001(cycle:=#cycle,
           reset:=#Unit.AHU.Command.General_reset,
           Process:=#Unit.PC_00103_001,
           InOut:="HVAC_R00103"."PC_00103_001".InOut,
           Parameters:="HVAC_R00103"."PC_00103_001".Parameters,
           Settings:="HVAC_R00103"."PC_00103_001".Settings);
</t>
  </si>
  <si>
    <t xml:space="preserve">#FC_00103_001(cycle:=#cycle,
           reset:=#Unit.AHU.Command.General_reset,
           Process:=#Unit.FC_00103_001,
           InOut:="HVAC_R00103"."FC_00103_001".InOut,
           Parameters:="HVAC_R00103"."FC_00103_001".Parameters,
           Settings:="HVAC_R00103"."FC_00103_001".Settings);
</t>
  </si>
  <si>
    <t xml:space="preserve">#RCLG_TC_00104_001(cycle:=#cycle,
           reset:=#Unit.AHU.Command.General_reset,
           Process:=#Unit.RCLG_TC_00104_001,
           InOut:="HVAC_R00104"."RCLG_TC_00104_001".InOut,
           Parameters:="HVAC_R00104"."RCLG_TC_00104_001".Parameters,
           Settings:="HVAC_R00104"."RCLG_TC_00104_001".Settings);
</t>
  </si>
  <si>
    <t xml:space="preserve">#PC_00104_001(cycle:=#cycle,
           reset:=#Unit.AHU.Command.General_reset,
           Process:=#Unit.PC_00104_001,
           InOut:="HVAC_R00104"."PC_00104_001".InOut,
           Parameters:="HVAC_R00104"."PC_00104_001".Parameters,
           Settings:="HVAC_R00104"."PC_00104_001".Settings);
</t>
  </si>
  <si>
    <t xml:space="preserve">#FC_00104_001(cycle:=#cycle,
           reset:=#Unit.AHU.Command.General_reset,
           Process:=#Unit.FC_00104_001,
           InOut:="HVAC_R00104"."FC_00104_001".InOut,
           Parameters:="HVAC_R00104"."FC_00104_001".Parameters,
           Settings:="HVAC_R00104"."FC_00104_001".Settings);
</t>
  </si>
  <si>
    <t xml:space="preserve">#PC_00101_001(cycle:=#cycle,
           reset:=#Unit.AHU.Command.General_reset,
           Process:=#Unit.PC_00101_001,
           InOut:="HVAC_R00101"."PC_00101_001".InOut,
           Parameters:="HVAC_R00101"."PC_00101_001".Parameters,
           Settings:="HVAC_R00101"."PC_00101_001".Settings);
</t>
  </si>
  <si>
    <t xml:space="preserve">#PC_00102_001(cycle:=#cycle,
           reset:=#Unit.AHU.Command.General_reset,
           Process:=#Unit.PC_00102_001,
           InOut:="HVAC_R00102"."PC_00102_001".InOut,
           Parameters:="HVAC_R00102"."PC_00102_001".Parameters,
           Settings:="HVAC_R00102"."PC_00102_001".Settings);
</t>
  </si>
  <si>
    <t xml:space="preserve">#PC_00105_001(cycle:=#cycle,
           reset:=#Unit.AHU.Command.General_reset,
           Process:=#Unit.PC_00105_001,
           InOut:="HVAC_R00105"."PC_00105_001".InOut,
           Parameters:="HVAC_R00105"."PC_00105_001".Parameters,
           Settings:="HVAC_R00105"."PC_00105_001".Settings);
</t>
  </si>
  <si>
    <t xml:space="preserve">#RCLG_TC_00115_001(cycle:=#cycle,
           reset:=#Unit.AHU.Command.General_reset,
           Process:=#Unit.RCLG_TC_00115_001,
           InOut:="HVAC_R00115"."RCLG_TC_00115_001".InOut,
           Parameters:="HVAC_R00115"."RCLG_TC_00115_001".Parameters,
           Settings:="HVAC_R00115"."RCLG_TC_00115_001".Settings);
</t>
  </si>
  <si>
    <t xml:space="preserve">#PC_00115_001(cycle:=#cycle,
           reset:=#Unit.AHU.Command.General_reset,
           Process:=#Unit.PC_00115_001,
           InOut:="HVAC_R00115"."PC_00115_001".InOut,
           Parameters:="HVAC_R00115"."PC_00115_001".Parameters,
           Settings:="HVAC_R00115"."PC_00115_001".Settings);
</t>
  </si>
  <si>
    <t xml:space="preserve">#FC_00115_001(cycle:=#cycle,
           reset:=#Unit.AHU.Command.General_reset,
           Process:=#Unit.FC_00115_001,
           InOut:="HVAC_R00115"."FC_00115_001".InOut,
           Parameters:="HVAC_R00115"."FC_00115_001".Parameters,
           Settings:="HVAC_R00115"."FC_00115_001".Settings);
</t>
  </si>
  <si>
    <t xml:space="preserve">#PC_00113_001(cycle:=#cycle,
           reset:=#Unit.AHU.Command.General_reset,
           Process:=#Unit.PC_00113_001,
           InOut:="HVAC_R00113"."PC_00113_001".InOut,
           Parameters:="HVAC_R00113"."PC_00113_001".Parameters,
           Settings:="HVAC_R00113"."PC_00113_001".Settings);
</t>
  </si>
  <si>
    <t xml:space="preserve">#PC_00114_001(cycle:=#cycle,
           reset:=#Unit.AHU.Command.General_reset,
           Process:=#Unit.PC_00114_001,
           InOut:="HVAC_R00114"."PC_00114_001".InOut,
           Parameters:="HVAC_R00114"."PC_00114_001".Parameters,
           Settings:="HVAC_R00114"."PC_00114_001".Settings);
</t>
  </si>
  <si>
    <t xml:space="preserve">#PC_00112_001(cycle:=#cycle,
           reset:=#Unit.AHU.Command.General_reset,
           Process:=#Unit.PC_00112_001,
           InOut:="HVAC_R00112"."PC_00112_001".InOut,
           Parameters:="HVAC_R00112"."PC_00112_001".Parameters,
           Settings:="HVAC_R00112"."PC_00112_001".Settings);
</t>
  </si>
  <si>
    <t xml:space="preserve">#FC_00112_001(cycle:=#cycle,
           reset:=#Unit.AHU.Command.General_reset,
           Process:=#Unit.FC_00112_001,
           InOut:="HVAC_R00112"."FC_00112_001".InOut,
           Parameters:="HVAC_R00112"."FC_00112_001".Parameters,
           Settings:="HVAC_R00112"."FC_00112_001".Settings);
</t>
  </si>
  <si>
    <t xml:space="preserve">#MTR_TC_SU01B_001(cycle:=#cycle,
           reset:=#Unit.AHU.Command.General_reset,
           Process:=#Unit.MTR_TC_SU01B_001,
           InOut:="HVAC_SU01B"."MTR_TC_SU01B_001".InOut,
           Parameters:="HVAC_SU01B"."MTR_TC_SU01B_001".Parameters,
           Settings:="HVAC_SU01B"."MTR_TC_SU01B_001".Settings);
</t>
  </si>
  <si>
    <t xml:space="preserve">#CLG_TC_SU01B_001(cycle:=#cycle,
           reset:=#Unit.AHU.Command.General_reset,
           Process:=#Unit.CLG_TC_SU01B_001,
           InOut:="HVAC_SU01B"."CLG_TC_SU01B_001".InOut,
           Parameters:="HVAC_SU01B"."CLG_TC_SU01B_001".Parameters,
           Settings:="HVAC_SU01B"."CLG_TC_SU01B_001".Settings);
</t>
  </si>
  <si>
    <t>HVAC_R00112</t>
  </si>
  <si>
    <t>HVAC_R00101</t>
  </si>
  <si>
    <t>HVAC_R00102</t>
  </si>
  <si>
    <t>HVAC_R00105</t>
  </si>
  <si>
    <t>HVAC_R00113</t>
  </si>
  <si>
    <t>HVAC_R00114</t>
  </si>
  <si>
    <t>HVAC_R00116</t>
  </si>
  <si>
    <t>SU1_B_AnalogueMeasure</t>
  </si>
  <si>
    <t>SU1_B_TextListAnalogueMeasure</t>
  </si>
  <si>
    <t>SU1_B_ValveOnOff</t>
  </si>
  <si>
    <t>SU1_B_TextListValveOnOff</t>
  </si>
  <si>
    <t>SU1_B_ValveModulating</t>
  </si>
  <si>
    <t>SU1_B_TextListValveModulating</t>
  </si>
  <si>
    <t>ObjValveModulating.InOut[41]</t>
  </si>
  <si>
    <t>ObjValveModulating.InOut[59]</t>
  </si>
  <si>
    <t>ObjValveModulating.InOut[60]</t>
  </si>
  <si>
    <t>SU1_B_MotorModulating</t>
  </si>
  <si>
    <t>SU1_B_TextListMotorModulating</t>
  </si>
  <si>
    <t>SU1_B_DigitalInput</t>
  </si>
  <si>
    <t>SU1_B_TextListDigitalInput</t>
  </si>
  <si>
    <t>SU1_B_ContPID</t>
  </si>
  <si>
    <t>SU1_B_TextListContPID</t>
  </si>
  <si>
    <t>ObjContPID.InOut[20]</t>
  </si>
  <si>
    <t>ObjContPID.InOut[21]</t>
  </si>
  <si>
    <t>SU1_B_Unit</t>
  </si>
  <si>
    <t>SU1_B_TextListUnit</t>
  </si>
  <si>
    <t>SU1_B_TempManager</t>
  </si>
  <si>
    <t>SU1_B_TextListTempManager</t>
  </si>
  <si>
    <t>SU01B_ContPID</t>
  </si>
  <si>
    <t xml:space="preserve">#$TAG$(Object := "$SYS$".$TAG$.InOut,
               InOut := "$OBJ$".InOut[#_$TAG$]);
</t>
  </si>
  <si>
    <t>TM-00103-001</t>
  </si>
  <si>
    <t>TM_00103_001</t>
  </si>
  <si>
    <t xml:space="preserve">#TM_00103_001(Object := "HVAC_R00103".TM_00103_001.InOut,
               InOut := "ObjTempManager".InOut[#_TM_00103_001]);
</t>
  </si>
  <si>
    <t>"TM_00103_001"</t>
  </si>
  <si>
    <t>_TM_00103_001</t>
  </si>
  <si>
    <t>Column9</t>
  </si>
  <si>
    <t>Column10</t>
  </si>
  <si>
    <t>Column11</t>
  </si>
  <si>
    <t>Column12</t>
  </si>
  <si>
    <t>Column13</t>
  </si>
  <si>
    <t>Column14</t>
  </si>
  <si>
    <t>Column15</t>
  </si>
  <si>
    <t>SU01_PAR</t>
  </si>
  <si>
    <t xml:space="preserve">Cabinet - Phase Assimetry Relay / Cabinet Powered </t>
  </si>
  <si>
    <t>/</t>
  </si>
  <si>
    <t>Default - Ok</t>
  </si>
  <si>
    <t>Contact sec</t>
  </si>
  <si>
    <t>SU01_ES</t>
  </si>
  <si>
    <t xml:space="preserve">Cabinet - Emergency Stop Relay </t>
  </si>
  <si>
    <t>SU01_FC_AL</t>
  </si>
  <si>
    <t xml:space="preserve">Cabinet - Fire Central Alarm </t>
  </si>
  <si>
    <t>SU01_24VAC</t>
  </si>
  <si>
    <t>Cabinet - 24V AC OK</t>
  </si>
  <si>
    <t>SU01_24VDC</t>
  </si>
  <si>
    <t>Cabinet - 24V DC OK</t>
  </si>
  <si>
    <t>Trip - Ok</t>
  </si>
  <si>
    <t>SPARE</t>
  </si>
  <si>
    <t xml:space="preserve"> N / A</t>
  </si>
  <si>
    <t>Differential Pressure Switch -main supply duct</t>
  </si>
  <si>
    <t>High - OK</t>
  </si>
  <si>
    <t>A1</t>
  </si>
  <si>
    <t>Promenjen naziv taga</t>
  </si>
  <si>
    <t xml:space="preserve">Filter E11 supply duct </t>
  </si>
  <si>
    <t>Full - Ok</t>
  </si>
  <si>
    <t>Leakage detector - supply SU01</t>
  </si>
  <si>
    <t>Leaking - Ok</t>
  </si>
  <si>
    <t>Differential Pressure Switch - main supply duct</t>
  </si>
  <si>
    <t>Leakage detector - supply room 0103</t>
  </si>
  <si>
    <t>Leakage detector - supply room 0104</t>
  </si>
  <si>
    <t>Leakage detector - supply room 0115</t>
  </si>
  <si>
    <t>Room 116 low pressure</t>
  </si>
  <si>
    <t>Low - OK</t>
  </si>
  <si>
    <t>Room 116 high pressure</t>
  </si>
  <si>
    <t>Room 112 low pressure</t>
  </si>
  <si>
    <t>Room 112 high pressure</t>
  </si>
  <si>
    <t>CEM-00103-001_OPEN</t>
  </si>
  <si>
    <t>Exhaust air  - Feedback Open</t>
  </si>
  <si>
    <t>Not Open - Open</t>
  </si>
  <si>
    <t>CEM-00103-001_CLOSED</t>
  </si>
  <si>
    <t>Exhaust air - Feedback Closed</t>
  </si>
  <si>
    <t>Not Closed - Closed</t>
  </si>
  <si>
    <t>CEM-00103-002_OPEN</t>
  </si>
  <si>
    <t>Supply air  - Feedback Open</t>
  </si>
  <si>
    <t>CEM-00103-002_CLOSED</t>
  </si>
  <si>
    <t>Supply air - Feedback Closed</t>
  </si>
  <si>
    <t>CEM-00104-001_OPEN</t>
  </si>
  <si>
    <t>CEM-00104-001_CLOSED</t>
  </si>
  <si>
    <t>CEM-00104-002_OPEN</t>
  </si>
  <si>
    <t>CEM-00104-002_CLOSED</t>
  </si>
  <si>
    <t>CEM-00115-001_OPEN</t>
  </si>
  <si>
    <t>CEM-00115-001_CLOSED</t>
  </si>
  <si>
    <t>CEM-00115-002_OPEN</t>
  </si>
  <si>
    <t>CEM-00115-002_CLOSED</t>
  </si>
  <si>
    <t>VFD-EF1-SU01-001_SERVICE</t>
  </si>
  <si>
    <t>Variable Speed Supply Service Switch</t>
  </si>
  <si>
    <t>VFD-EF1-SU01-001_SUPPLY</t>
  </si>
  <si>
    <t>Supply status</t>
  </si>
  <si>
    <t>VFD-EF2-SU01-001_SERVICE</t>
  </si>
  <si>
    <t>VFD-EF2-SU01-001_SUPPLY</t>
  </si>
  <si>
    <t>VFD-SF1-SU01-001_SERVICE</t>
  </si>
  <si>
    <t>Variable Speed Exhaust Service Switch</t>
  </si>
  <si>
    <t>VFD-SF1-SU01-001_SUPPLY</t>
  </si>
  <si>
    <t>VFD-SF2-SU01-001_SERVICE</t>
  </si>
  <si>
    <t>VFD-SF2-SU01-001_SUPPLY</t>
  </si>
  <si>
    <t>VFD-SF1-SU01B-001_SERVICE</t>
  </si>
  <si>
    <t>VFD-SF1-SU01B-001_SUPPLY</t>
  </si>
  <si>
    <t>VFD-EF1-SU01B-001_SERVICE</t>
  </si>
  <si>
    <t>VFD-EF1-SU01B-001_SUPPLY</t>
  </si>
  <si>
    <t>VFD-FU-00103_SERVICE</t>
  </si>
  <si>
    <t>VFD-FU-00103_SUPPLY</t>
  </si>
  <si>
    <t>VFD-FU-00104_SERVICE</t>
  </si>
  <si>
    <t>VFD-FU-00104_SUPPLY</t>
  </si>
  <si>
    <t>VFD-FU-00115_SERVICE</t>
  </si>
  <si>
    <t>VFD-FU-00115_SUPPLY</t>
  </si>
  <si>
    <t>Leakage detector - supply room 0106</t>
  </si>
  <si>
    <t>Leakage detector - supply room 0107</t>
  </si>
  <si>
    <t>Leakage detector - supply room 0108</t>
  </si>
  <si>
    <t>Leakage detector - supply room 0109</t>
  </si>
  <si>
    <t>Leakage detector - supply room 0110</t>
  </si>
  <si>
    <t>Leakage detector - supply room 0111</t>
  </si>
  <si>
    <t>CEM-SU01B-001_OPEN</t>
  </si>
  <si>
    <t>CEM-SU01B-001_CLOSED</t>
  </si>
  <si>
    <t>CEM-SU01B-003_OPEN</t>
  </si>
  <si>
    <t>CEM-SU01B-003_CLOSED</t>
  </si>
  <si>
    <t>CEM-00103-001_CMD</t>
  </si>
  <si>
    <t xml:space="preserve">Exhaust Air - Command Open </t>
  </si>
  <si>
    <t>Set Closed / Set Open</t>
  </si>
  <si>
    <t>CEM-00103-002_CMD</t>
  </si>
  <si>
    <t xml:space="preserve">Supply Air - Command Open </t>
  </si>
  <si>
    <t>CEM-00104-001_CMD</t>
  </si>
  <si>
    <t>CEM-00104-002_CMD</t>
  </si>
  <si>
    <t>CEM-00115-001_CMD</t>
  </si>
  <si>
    <t>CEM-00115-002_CMD</t>
  </si>
  <si>
    <t>SU01.AMS_WARNING</t>
  </si>
  <si>
    <t>SU01.AMS_ALARM</t>
  </si>
  <si>
    <t>SU01B.AMS_WARNING</t>
  </si>
  <si>
    <t>SU01B.AMS_ALARM</t>
  </si>
  <si>
    <t>CEM-SU01B-001_CMD</t>
  </si>
  <si>
    <t>CEM-SU01B-003_CMD</t>
  </si>
  <si>
    <t>Supply Duct Pressure SU01</t>
  </si>
  <si>
    <t>IW100</t>
  </si>
  <si>
    <t>Pa</t>
  </si>
  <si>
    <t>0... 1000</t>
  </si>
  <si>
    <t>4-20mA - 2w</t>
  </si>
  <si>
    <t>Exhaust Duct Pressure SU01</t>
  </si>
  <si>
    <t>IW102</t>
  </si>
  <si>
    <t>Supply Duct Pressure SU01B</t>
  </si>
  <si>
    <t>IW104</t>
  </si>
  <si>
    <t>Exhaust Duct Pressure SU01B</t>
  </si>
  <si>
    <t>IW106</t>
  </si>
  <si>
    <t>Supply Duct temperature sensor</t>
  </si>
  <si>
    <t>IW108</t>
  </si>
  <si>
    <t>°C</t>
  </si>
  <si>
    <t>0... 50</t>
  </si>
  <si>
    <t>IW110</t>
  </si>
  <si>
    <t>Exhaust Duct temperature sensor</t>
  </si>
  <si>
    <t>IW112</t>
  </si>
  <si>
    <t>IW114</t>
  </si>
  <si>
    <t>IW116</t>
  </si>
  <si>
    <t>IW118</t>
  </si>
  <si>
    <t>IW120</t>
  </si>
  <si>
    <t>IW122</t>
  </si>
  <si>
    <t>Supply Fan Pressure SU01</t>
  </si>
  <si>
    <t>IW124</t>
  </si>
  <si>
    <t>0…2500</t>
  </si>
  <si>
    <t>IW126</t>
  </si>
  <si>
    <t>Exhaust Fan Pressure SU01</t>
  </si>
  <si>
    <t>IW128</t>
  </si>
  <si>
    <t>IW130</t>
  </si>
  <si>
    <t>HEPA Filter Fan Pressure SU01</t>
  </si>
  <si>
    <t>IW132</t>
  </si>
  <si>
    <t>Supply Fan Pressure SU01B</t>
  </si>
  <si>
    <t>IW134</t>
  </si>
  <si>
    <t>Exhaust Fan Pressure SU01B</t>
  </si>
  <si>
    <t>IW136</t>
  </si>
  <si>
    <t>HEPA Filter Pressure SU01B</t>
  </si>
  <si>
    <t>IW138</t>
  </si>
  <si>
    <t>Room 106 temperature sensor</t>
  </si>
  <si>
    <t>IW140</t>
  </si>
  <si>
    <t>IW142</t>
  </si>
  <si>
    <t>Room 106 Pressure Transmitter</t>
  </si>
  <si>
    <t>IW144</t>
  </si>
  <si>
    <t>0... 100</t>
  </si>
  <si>
    <t>Room 106 terminal filter reference</t>
  </si>
  <si>
    <t>IW146</t>
  </si>
  <si>
    <t>Room 107 temperature sensor</t>
  </si>
  <si>
    <t>IW148</t>
  </si>
  <si>
    <t>IW150</t>
  </si>
  <si>
    <t>Room 108 temperature sensor</t>
  </si>
  <si>
    <t>IW152</t>
  </si>
  <si>
    <t>IW154</t>
  </si>
  <si>
    <t>Room 109 temperature sensor</t>
  </si>
  <si>
    <t>IW156</t>
  </si>
  <si>
    <t>IW158</t>
  </si>
  <si>
    <t>Room 110 temperature sensor</t>
  </si>
  <si>
    <t>IW160</t>
  </si>
  <si>
    <t>IW162</t>
  </si>
  <si>
    <t>Room 111 temperature sensor</t>
  </si>
  <si>
    <t>IW164</t>
  </si>
  <si>
    <t>IW166</t>
  </si>
  <si>
    <t>Room 111 humidity sensor</t>
  </si>
  <si>
    <t>IW168</t>
  </si>
  <si>
    <t>Room 111 pressure transmitter</t>
  </si>
  <si>
    <t>IW170</t>
  </si>
  <si>
    <t>Room 116 pressure transmitter</t>
  </si>
  <si>
    <t>IW172</t>
  </si>
  <si>
    <t>Room 112 temperature sensor</t>
  </si>
  <si>
    <t>IW174</t>
  </si>
  <si>
    <t>Room 112 humidity sensor</t>
  </si>
  <si>
    <t>IW176</t>
  </si>
  <si>
    <t>Room 112 pressure transmitter</t>
  </si>
  <si>
    <t>IW178</t>
  </si>
  <si>
    <t>Room 103 temperature sensor</t>
  </si>
  <si>
    <t>IW180</t>
  </si>
  <si>
    <t>Room 103 pressure transmitter</t>
  </si>
  <si>
    <t>IW182</t>
  </si>
  <si>
    <t>Pressure Room 103</t>
  </si>
  <si>
    <t>IW184</t>
  </si>
  <si>
    <t>0…1000</t>
  </si>
  <si>
    <t>Room 104 temperature sensor</t>
  </si>
  <si>
    <t>IW186</t>
  </si>
  <si>
    <t>Room 104 pressure transmitter</t>
  </si>
  <si>
    <t>IW188</t>
  </si>
  <si>
    <t>Pressure Room 104</t>
  </si>
  <si>
    <t>IW190</t>
  </si>
  <si>
    <t>Room 101 pressure transmitter</t>
  </si>
  <si>
    <t>IW192</t>
  </si>
  <si>
    <t>Room 102 pressure transmitter</t>
  </si>
  <si>
    <t>IW194</t>
  </si>
  <si>
    <t>Room 105 pressure transmitter</t>
  </si>
  <si>
    <t>IW196</t>
  </si>
  <si>
    <t>Room 115 temperature sensor</t>
  </si>
  <si>
    <t>IW198</t>
  </si>
  <si>
    <t>Room 115 pressure transmitter</t>
  </si>
  <si>
    <t>Pressure Room 115</t>
  </si>
  <si>
    <t>Room 113 pressure transmitter</t>
  </si>
  <si>
    <t>Room 114 pressure transmitter</t>
  </si>
  <si>
    <t>PICV-HW-001_FB-SPARE</t>
  </si>
  <si>
    <t>Heater Valve Feedback</t>
  </si>
  <si>
    <t>%</t>
  </si>
  <si>
    <t>0…100</t>
  </si>
  <si>
    <t>0-10V</t>
  </si>
  <si>
    <t>PICV-CLW-009_FB-SPARE</t>
  </si>
  <si>
    <t>Cooler Valve Feedback</t>
  </si>
  <si>
    <t>PICV-CLW-006_FB-SPARE</t>
  </si>
  <si>
    <t>CEM-SU01-001_FB</t>
  </si>
  <si>
    <t>CEM 1 Feedback</t>
  </si>
  <si>
    <t>CEM-SU01B-002_FB</t>
  </si>
  <si>
    <t>VAV-00106-001_FB</t>
  </si>
  <si>
    <t>VAV 1 Exhaust Feedback</t>
  </si>
  <si>
    <t>m³/h</t>
  </si>
  <si>
    <t>0…10V</t>
  </si>
  <si>
    <t>PICV-CLW-003_FB-SPARE</t>
  </si>
  <si>
    <t>Cooler Valve Feedback Room 106</t>
  </si>
  <si>
    <t>VAV-00107-001_FB</t>
  </si>
  <si>
    <t>PICV-CLW-004_FB-SPARE</t>
  </si>
  <si>
    <t>Cooler Valve Feedback Room 107</t>
  </si>
  <si>
    <t>VAV-00108-001_FB</t>
  </si>
  <si>
    <t>PICV-CLW-007_FB-SPARE</t>
  </si>
  <si>
    <t>Cooler Valve Feedback Room 108</t>
  </si>
  <si>
    <t>VAV-00109-001_FB</t>
  </si>
  <si>
    <t>PICV-CLW-008_FB-SPARE</t>
  </si>
  <si>
    <t>Cooler Valve Feedback Room 109</t>
  </si>
  <si>
    <t>VAV-00110-001_FB</t>
  </si>
  <si>
    <t>PICV-CLW-010_FB-SPARE</t>
  </si>
  <si>
    <t>Cooler Valve Feedback Room 110</t>
  </si>
  <si>
    <t>VAV-00111-001_FB</t>
  </si>
  <si>
    <t>PICV-CLW-005_FB-SPARE</t>
  </si>
  <si>
    <t>Cooler Valve Feedback Room 111</t>
  </si>
  <si>
    <t>VAV-00116-001_FB</t>
  </si>
  <si>
    <t>VAV-00103-001_FB</t>
  </si>
  <si>
    <t>PICV-CLW-001_FB-SPARE</t>
  </si>
  <si>
    <t>Cooler Valve Feedback Room 103</t>
  </si>
  <si>
    <t>VAV-00104-001_FB</t>
  </si>
  <si>
    <t>IW280</t>
  </si>
  <si>
    <t>PICV-CLW-002_FB-SPARE</t>
  </si>
  <si>
    <t>Cooler Valve Feedback Room 104</t>
  </si>
  <si>
    <t>IW282</t>
  </si>
  <si>
    <t>VAV-00101-001_FB</t>
  </si>
  <si>
    <t>IW284</t>
  </si>
  <si>
    <t>VAV-00102-001_FB</t>
  </si>
  <si>
    <t>IW286</t>
  </si>
  <si>
    <t>VAV-00105-001_FB</t>
  </si>
  <si>
    <t>IW288</t>
  </si>
  <si>
    <t>VAV-00115-001_FB</t>
  </si>
  <si>
    <t>IW290</t>
  </si>
  <si>
    <t>PICV-CLW-011_FB-SPARE</t>
  </si>
  <si>
    <t>Cooler Valve Feedback Room 115</t>
  </si>
  <si>
    <t>IW292</t>
  </si>
  <si>
    <t>VAV-00113-001_FB</t>
  </si>
  <si>
    <t>IW294</t>
  </si>
  <si>
    <t>VAV-00114-001_FB</t>
  </si>
  <si>
    <t>IW296</t>
  </si>
  <si>
    <t>IW298</t>
  </si>
  <si>
    <t>PICV-HW-001_SP</t>
  </si>
  <si>
    <t>Heater Valve Setpoint</t>
  </si>
  <si>
    <t>QW100</t>
  </si>
  <si>
    <t>PICV-CLW-009_SP</t>
  </si>
  <si>
    <t>Cooler Valve Setpoint</t>
  </si>
  <si>
    <t>QW102</t>
  </si>
  <si>
    <t>PICV-CLW-006_SP</t>
  </si>
  <si>
    <t>QW104</t>
  </si>
  <si>
    <t>QW106</t>
  </si>
  <si>
    <t>CEM-SU01-001_SP</t>
  </si>
  <si>
    <t>CEM 1 Setpoint</t>
  </si>
  <si>
    <t>QW108</t>
  </si>
  <si>
    <t>CEM-SU01B-002_SP</t>
  </si>
  <si>
    <t>QW110</t>
  </si>
  <si>
    <t>QW112</t>
  </si>
  <si>
    <t>QW114</t>
  </si>
  <si>
    <t>VAV-00106-001_SP</t>
  </si>
  <si>
    <t>VAV 1 Exhaust Setpoint</t>
  </si>
  <si>
    <t>QW116</t>
  </si>
  <si>
    <t>PICV-CLW-003_SP</t>
  </si>
  <si>
    <t>Cooler Valve Setpoint Room 106</t>
  </si>
  <si>
    <t>QW118</t>
  </si>
  <si>
    <t>VAV-00107-001_SP</t>
  </si>
  <si>
    <t>QW120</t>
  </si>
  <si>
    <t>PICV-CLW-004 _SP</t>
  </si>
  <si>
    <t>Cooler Valve Setpoint Room 107</t>
  </si>
  <si>
    <t>QW122</t>
  </si>
  <si>
    <t>VAV-00108-001_SP</t>
  </si>
  <si>
    <t>QW124</t>
  </si>
  <si>
    <t>PICV-CLW-007_SP</t>
  </si>
  <si>
    <t>Cooler Valve Setpoint Room 108</t>
  </si>
  <si>
    <t>QW126</t>
  </si>
  <si>
    <t>VAV-00109-001_SP</t>
  </si>
  <si>
    <t>QW128</t>
  </si>
  <si>
    <t>PICV-CLW-008_SP</t>
  </si>
  <si>
    <t>Cooler Valve Setpoint Room 109</t>
  </si>
  <si>
    <t>QW130</t>
  </si>
  <si>
    <t>VAV-00110-001_SP</t>
  </si>
  <si>
    <t>QW132</t>
  </si>
  <si>
    <t>PICV-CLW-010_SP</t>
  </si>
  <si>
    <t>Cooler Valve Setpoint Room 110</t>
  </si>
  <si>
    <t>QW134</t>
  </si>
  <si>
    <t>VAV-00111-001_SP</t>
  </si>
  <si>
    <t>QW136</t>
  </si>
  <si>
    <t>PICV-CLW-005_SP</t>
  </si>
  <si>
    <t>Cooler Valve Setpoint Room 111</t>
  </si>
  <si>
    <t>QW138</t>
  </si>
  <si>
    <t>VAV-00116-001_SP</t>
  </si>
  <si>
    <t>QW140</t>
  </si>
  <si>
    <t>QW142</t>
  </si>
  <si>
    <t>VAV-00103-001_SP</t>
  </si>
  <si>
    <t>QW144</t>
  </si>
  <si>
    <t>PICV-CLW-001_SP</t>
  </si>
  <si>
    <t>Cooler Valve Setpoint Room 103</t>
  </si>
  <si>
    <t>QW146</t>
  </si>
  <si>
    <t>VAV-00104-001_SP</t>
  </si>
  <si>
    <t>QW148</t>
  </si>
  <si>
    <t>PICV-CLW-002_SP</t>
  </si>
  <si>
    <t>Cooler Valve Setpoint Room 104</t>
  </si>
  <si>
    <t>QW150</t>
  </si>
  <si>
    <t>VAV-00101-001_SP</t>
  </si>
  <si>
    <t>QW152</t>
  </si>
  <si>
    <t>VAV-00102-001_SP</t>
  </si>
  <si>
    <t>QW154</t>
  </si>
  <si>
    <t>VAV-00105-001_SP</t>
  </si>
  <si>
    <t>QW156</t>
  </si>
  <si>
    <t>VAV-00115-001_SP</t>
  </si>
  <si>
    <t>QW158</t>
  </si>
  <si>
    <t>PICV-CLW-011_SP</t>
  </si>
  <si>
    <t>Cooler Valve Setpoint Room 115</t>
  </si>
  <si>
    <t>QW160</t>
  </si>
  <si>
    <t>VAV-00113-001_SP</t>
  </si>
  <si>
    <t>QW162</t>
  </si>
  <si>
    <t>VAV-00114-001_SP</t>
  </si>
  <si>
    <t>QW164</t>
  </si>
  <si>
    <t>QW166</t>
  </si>
  <si>
    <t>QW168</t>
  </si>
  <si>
    <t>QW170</t>
  </si>
  <si>
    <t>QW172</t>
  </si>
  <si>
    <t>QW174</t>
  </si>
  <si>
    <t>QW176</t>
  </si>
  <si>
    <t>QW178</t>
  </si>
  <si>
    <t>CEM_00103_001_OPEN</t>
  </si>
  <si>
    <t>CEM_00103_001_CLOSED</t>
  </si>
  <si>
    <t>CEM_00103_002_OPEN</t>
  </si>
  <si>
    <t>CEM_00103_002_CLOSED</t>
  </si>
  <si>
    <t>CEM_00104_001_OPEN</t>
  </si>
  <si>
    <t>CEM_00104_001_CLOSED</t>
  </si>
  <si>
    <t>CEM_00104_002_OPEN</t>
  </si>
  <si>
    <t>CEM_00104_002_CLOSED</t>
  </si>
  <si>
    <t>CEM_00115_001_OPEN</t>
  </si>
  <si>
    <t>CEM_00115_001_CLOSED</t>
  </si>
  <si>
    <t>CEM_00115_002_OPEN</t>
  </si>
  <si>
    <t>CEM_00115_002_CLOSED</t>
  </si>
  <si>
    <t>VFD_EF1_SU01_001_SERVICE</t>
  </si>
  <si>
    <t>VFD_EF1_SU01_001_SUPPLY</t>
  </si>
  <si>
    <t>VFD_EF2_SU01_001_SERVICE</t>
  </si>
  <si>
    <t>VFD_EF2_SU01_001_SUPPLY</t>
  </si>
  <si>
    <t>VFD_SF1_SU01_001_SERVICE</t>
  </si>
  <si>
    <t>VFD_SF1_SU01_001_SUPPLY</t>
  </si>
  <si>
    <t>VFD_SF2_SU01_001_SERVICE</t>
  </si>
  <si>
    <t>VFD_SF2_SU01_001_SUPPLY</t>
  </si>
  <si>
    <t>VFD_SF1_SU01B_001_SERVICE</t>
  </si>
  <si>
    <t>VFD_SF1_SU01B_001_SUPPLY</t>
  </si>
  <si>
    <t>VFD_EF1_SU01B_001_SERVICE</t>
  </si>
  <si>
    <t>VFD_EF1_SU01B_001_SUPPLY</t>
  </si>
  <si>
    <t>VFD_FU_00103_SERVICE</t>
  </si>
  <si>
    <t>VFD_FU_00103_SUPPLY</t>
  </si>
  <si>
    <t>VFD_FU_00104_SERVICE</t>
  </si>
  <si>
    <t>VFD_FU_00104_SUPPLY</t>
  </si>
  <si>
    <t>VFD_FU_00115_SERVICE</t>
  </si>
  <si>
    <t>VFD_FU_00115_SUPPLY</t>
  </si>
  <si>
    <t>CEM_SU01B_001_OPEN</t>
  </si>
  <si>
    <t>CEM_SU01B_001_CLOSED</t>
  </si>
  <si>
    <t>CEM_SU01B_003_OPEN</t>
  </si>
  <si>
    <t>CEM_SU01B_003_CLOSED</t>
  </si>
  <si>
    <t>CEM_00103_001_CMD</t>
  </si>
  <si>
    <t>CEM_00103_002_CMD</t>
  </si>
  <si>
    <t>CEM_00104_001_CMD</t>
  </si>
  <si>
    <t>CEM_00104_002_CMD</t>
  </si>
  <si>
    <t>CEM_00115_001_CMD</t>
  </si>
  <si>
    <t>CEM_00115_002_CMD</t>
  </si>
  <si>
    <t>CEM_SU01B_001_CMD</t>
  </si>
  <si>
    <t>CEM_SU01B_003_CMD</t>
  </si>
  <si>
    <t>PICV_HW_001_FB_SPARE</t>
  </si>
  <si>
    <t>PICV_CLW_009_FB_SPARE</t>
  </si>
  <si>
    <t>PICV_CLW_006_FB_SPARE</t>
  </si>
  <si>
    <t>CEM_SU01_001_FB</t>
  </si>
  <si>
    <t>CEM_SU01B_002_FB</t>
  </si>
  <si>
    <t>VAV_00106_001_FB</t>
  </si>
  <si>
    <t>PICV_CLW_003_FB_SPARE</t>
  </si>
  <si>
    <t>VAV_00107_001_FB</t>
  </si>
  <si>
    <t>PICV_CLW_004_FB_SPARE</t>
  </si>
  <si>
    <t>VAV_00108_001_FB</t>
  </si>
  <si>
    <t>PICV_CLW_007_FB_SPARE</t>
  </si>
  <si>
    <t>VAV_00109_001_FB</t>
  </si>
  <si>
    <t>PICV_CLW_008_FB_SPARE</t>
  </si>
  <si>
    <t>VAV_00110_001_FB</t>
  </si>
  <si>
    <t>PICV_CLW_010_FB_SPARE</t>
  </si>
  <si>
    <t>VAV_00111_001_FB</t>
  </si>
  <si>
    <t>PICV_CLW_005_FB_SPARE</t>
  </si>
  <si>
    <t>VAV_00116_001_FB</t>
  </si>
  <si>
    <t>VAV_00103_001_FB</t>
  </si>
  <si>
    <t>PICV_CLW_001_FB_SPARE</t>
  </si>
  <si>
    <t>VAV_00104_001_FB</t>
  </si>
  <si>
    <t>PICV_CLW_002_FB_SPARE</t>
  </si>
  <si>
    <t>VAV_00101_001_FB</t>
  </si>
  <si>
    <t>VAV_00102_001_FB</t>
  </si>
  <si>
    <t>VAV_00105_001_FB</t>
  </si>
  <si>
    <t>VAV_00115_001_FB</t>
  </si>
  <si>
    <t>PICV_CLW_011_FB_SPARE</t>
  </si>
  <si>
    <t>VAV_00113_001_FB</t>
  </si>
  <si>
    <t>VAV_00114_001_FB</t>
  </si>
  <si>
    <t>PICV_HW_001_SP</t>
  </si>
  <si>
    <t>PICV_CLW_009_SP</t>
  </si>
  <si>
    <t>PICV_CLW_006_SP</t>
  </si>
  <si>
    <t>CEM_SU01_001_SP</t>
  </si>
  <si>
    <t>CEM_SU01B_002_SP</t>
  </si>
  <si>
    <t>VAV_00106_001_SP</t>
  </si>
  <si>
    <t>PICV_CLW_003_SP</t>
  </si>
  <si>
    <t>VAV_00107_001_SP</t>
  </si>
  <si>
    <t>PICV_CLW_004 _SP</t>
  </si>
  <si>
    <t>VAV_00108_001_SP</t>
  </si>
  <si>
    <t>PICV_CLW_007_SP</t>
  </si>
  <si>
    <t>VAV_00109_001_SP</t>
  </si>
  <si>
    <t>PICV_CLW_008_SP</t>
  </si>
  <si>
    <t>VAV_00110_001_SP</t>
  </si>
  <si>
    <t>PICV_CLW_010_SP</t>
  </si>
  <si>
    <t>VAV_00111_001_SP</t>
  </si>
  <si>
    <t>PICV_CLW_005_SP</t>
  </si>
  <si>
    <t>VAV_00116_001_SP</t>
  </si>
  <si>
    <t>VAV_00103_001_SP</t>
  </si>
  <si>
    <t>PICV_CLW_001_SP</t>
  </si>
  <si>
    <t>VAV_00104_001_SP</t>
  </si>
  <si>
    <t>PICV_CLW_002_SP</t>
  </si>
  <si>
    <t>VAV_00101_001_SP</t>
  </si>
  <si>
    <t>VAV_00102_001_SP</t>
  </si>
  <si>
    <t>VAV_00105_001_SP</t>
  </si>
  <si>
    <t>VAV_00115_001_SP</t>
  </si>
  <si>
    <t>PICV_CLW_011_SP</t>
  </si>
  <si>
    <t>VAV_00113_001_SP</t>
  </si>
  <si>
    <t>VAV_00114_001_SP</t>
  </si>
  <si>
    <t>setpoint</t>
  </si>
  <si>
    <t>"StatnECBLUE_ErrorSignal"("ModbusStations"."$TAG$".Data.Error)</t>
  </si>
  <si>
    <t>"DpToFlowNozzle"(pressure:=#Unit.#$TAG$.processValue, flowFactor:="HVAC_PLC_Parameters".K_Factor.$TAG$)</t>
  </si>
  <si>
    <t>calculatedMeasure</t>
  </si>
  <si>
    <t>reference</t>
  </si>
  <si>
    <t>"ModbusStations".$TAG$.Data.Fbk.RelativeVolumetricFlow</t>
  </si>
  <si>
    <t>"ModbusStations".$TAG$.Data.Cmd.Setpoint</t>
  </si>
  <si>
    <t>CommDamperOpen(threshold:=#$TAG$.openThreshold, Fbk:="ModbusStations".$TAG$.Data.Fbk)</t>
  </si>
  <si>
    <t>CommDamperClosed(threshold:=#$TAG$.closedThreshold, Fbk:="ModbusStations".$TAG$.Data.Fbk)</t>
  </si>
  <si>
    <t>"ModbusStations".$TAG$.Station.Status.ErrorComm</t>
  </si>
  <si>
    <t>"ModbusStations".$TAG$.Data.Speed</t>
  </si>
  <si>
    <t>"ModbusStations".$TAG$.Data.Status.Stop</t>
  </si>
  <si>
    <t>"ModbusStations".$TAG$.Data.Reference</t>
  </si>
  <si>
    <t>"ModbusStations".$TAG$.Data.ControlWord.Enable</t>
  </si>
  <si>
    <t>"ModbusStations".$TAG$.Data.Error."Temperature error"</t>
  </si>
  <si>
    <t>Grundfos</t>
  </si>
  <si>
    <t> TP 25-50/2 A-O-A-BQQE-AX1</t>
  </si>
  <si>
    <t>P-GYW-107</t>
  </si>
  <si>
    <t xml:space="preserve">TP 32-320/2 A-F-A-BQQE-IX1 </t>
  </si>
  <si>
    <t>P-GYW-108</t>
  </si>
  <si>
    <t>P-HW-106</t>
  </si>
  <si>
    <t xml:space="preserve">TP 32-40/4 A-F-A-BQQE-CX3 </t>
  </si>
  <si>
    <t>P-HW-103</t>
  </si>
  <si>
    <t>TP 32-80/2 A-O-A-BQQE-CX1</t>
  </si>
  <si>
    <t>P-HW-104</t>
  </si>
  <si>
    <t>P-GYW-109</t>
  </si>
  <si>
    <t xml:space="preserve">TP 32‐320/2 A‐F‐A‐BQQE‐IX1 </t>
  </si>
  <si>
    <t>P-GYW-110</t>
  </si>
  <si>
    <t>P-HW-105</t>
  </si>
  <si>
    <t>P-GYW-111</t>
  </si>
  <si>
    <t>TT-GYW-102</t>
  </si>
  <si>
    <t>Siemens</t>
  </si>
  <si>
    <t>QAE2112.010</t>
  </si>
  <si>
    <t>TT-GYW-101</t>
  </si>
  <si>
    <t>TT-GYW-104</t>
  </si>
  <si>
    <t>TT-GYW-103</t>
  </si>
  <si>
    <t>TT-GYW-106</t>
  </si>
  <si>
    <t>U</t>
  </si>
  <si>
    <t>TT-GYW-108</t>
  </si>
  <si>
    <t>TT-GYW-107</t>
  </si>
  <si>
    <t>TT-GYW-110</t>
  </si>
  <si>
    <t>TT-GYW-109</t>
  </si>
  <si>
    <t>PSL-GYW-101</t>
  </si>
  <si>
    <t>SNS-C106XQ</t>
  </si>
  <si>
    <t>PSL-GYW-102</t>
  </si>
  <si>
    <t>PSL-GYW-103</t>
  </si>
  <si>
    <t>PSL-GYW-104</t>
  </si>
  <si>
    <t>PSL-GYW-105</t>
  </si>
  <si>
    <t>PICV-HW-025</t>
  </si>
  <si>
    <t>PICV-CLW-096</t>
  </si>
  <si>
    <t>PICV-HW-026</t>
  </si>
  <si>
    <t>PICV-CLW-097</t>
  </si>
  <si>
    <t>PICV-HW-027</t>
  </si>
  <si>
    <t>PICV-CLW-098</t>
  </si>
  <si>
    <t>PICV-HW-028</t>
  </si>
  <si>
    <t>PICV-CLW-099</t>
  </si>
  <si>
    <t>PICV-CLW-100</t>
  </si>
  <si>
    <t>PICV-CLW-091</t>
  </si>
  <si>
    <t>return pipe cooling coil CC-01809</t>
  </si>
  <si>
    <t>PICV-CLW-093</t>
  </si>
  <si>
    <t>PICV-CLW-094</t>
  </si>
  <si>
    <t>PICV-CLW-095</t>
  </si>
  <si>
    <t>PICV-CLW-xxx</t>
  </si>
  <si>
    <t>new FFU-021xx</t>
  </si>
  <si>
    <t>3WV-GYW-101</t>
  </si>
  <si>
    <t>3WV-GYW-102</t>
  </si>
  <si>
    <t>3WV-GYW-105</t>
  </si>
  <si>
    <t>TM-SU01-001</t>
  </si>
  <si>
    <t>TM_SU01_001</t>
  </si>
  <si>
    <t xml:space="preserve">#TM_SU01_001(Object := "HVAC_SU01".TM_SU01_001.InOut,
               InOut := "ObjTempManager".InOut[#_TM_SU01_001]);
</t>
  </si>
  <si>
    <t>"TM_SU01_001"</t>
  </si>
  <si>
    <t>_TM_SU01_001</t>
  </si>
  <si>
    <t xml:space="preserve">#MTT_00111_001_T(measure:="MTT-00111-001_T",_x000D_
reset:=#Unit.AHU.Command.General_reset,
           Process:=#Unit.MTT_00111_001_T,
           InOut:="HVAC_R00111"."MTT_00111_001_T".InOut,
           Parameters:="HVAC_R00111"."MTT_00111_001_T".Parameters,
           Settings:="HVAC_R00111"."MTT_00111_001_T".Settings);
</t>
  </si>
  <si>
    <t xml:space="preserve">#MTT_00111_001_H(measure:="MTT-00111-001_H",_x000D_
reset:=#Unit.AHU.Command.General_reset,
           Process:=#Unit.MTT_00111_001_H,
           InOut:="HVAC_R00111"."MTT_00111_001_H".InOut,
           Parameters:="HVAC_R00111"."MTT_00111_001_H".Parameters,
           Settings:="HVAC_R00111"."MTT_00111_001_H".Settings);
</t>
  </si>
  <si>
    <t xml:space="preserve">#MTT_00112_001_T(measure:="MTT-00112-001_T",_x000D_
reset:=#Unit.AHU.Command.General_reset,
           Process:=#Unit.MTT_00112_001_T,
           InOut:="HVAC_R00112"."MTT_00112_001_T".InOut,
           Parameters:="HVAC_R00112"."MTT_00112_001_T".Parameters,
           Settings:="HVAC_R00112"."MTT_00112_001_T".Settings);
</t>
  </si>
  <si>
    <t xml:space="preserve">#MTT_00112_001_H(measure:="MTT-00112-001_H",_x000D_
reset:=#Unit.AHU.Command.General_reset,
           Process:=#Unit.MTT_00112_001_H,
           InOut:="HVAC_R00112"."MTT_00112_001_H".InOut,
           Parameters:="HVAC_R00112"."MTT_00112_001_H".Parameters,
           Settings:="HVAC_R00112"."MTT_00112_001_H".Settings);
</t>
  </si>
  <si>
    <t xml:space="preserve">#TT_SU01_001(measure:="TT-SU01-001",_x000D_
reset:=#Unit.AHU.Command.General_reset,
           Process:=#Unit.TT_SU01_001,
           InOut:="HVAC_SU01"."TT_SU01_001".InOut,
           Parameters:="HVAC_SU01"."TT_SU01_001".Parameters,
           Settings:="HVAC_SU01"."TT_SU01_001".Settings);
</t>
  </si>
  <si>
    <t xml:space="preserve">#TT_SU01_002(measure:="TT-SU01-002",_x000D_
reset:=#Unit.AHU.Command.General_reset,
           Process:=#Unit.TT_SU01_002,
           InOut:="HVAC_SU01"."TT_SU01_002".InOut,
           Parameters:="HVAC_SU01"."TT_SU01_002".Parameters,
           Settings:="HVAC_SU01"."TT_SU01_002".Settings);
</t>
  </si>
  <si>
    <t xml:space="preserve">#TT_SU01_003(measure:="TT-SU01-003",_x000D_
reset:=#Unit.AHU.Command.General_reset,
           Process:=#Unit.TT_SU01_003,
           InOut:="HVAC_SU01"."TT_SU01_003".InOut,
           Parameters:="HVAC_SU01"."TT_SU01_003".Parameters,
           Settings:="HVAC_SU01"."TT_SU01_003".Settings);
</t>
  </si>
  <si>
    <t xml:space="preserve">#TT_SU01B_001(measure:="TT-SU01B-001",_x000D_
reset:=#Unit.AHU.Command.General_reset,
           Process:=#Unit.TT_SU01B_001,
           InOut:="HVAC_SU01B"."TT_SU01B_001".InOut,
           Parameters:="HVAC_SU01B"."TT_SU01B_001".Parameters,
           Settings:="HVAC_SU01B"."TT_SU01B_001".Settings);
</t>
  </si>
  <si>
    <t xml:space="preserve">#TT_SU01B_002(measure:="TT-SU01B-002",_x000D_
reset:=#Unit.AHU.Command.General_reset,
           Process:=#Unit.TT_SU01B_002,
           InOut:="HVAC_SU01B"."TT_SU01B_002".InOut,
           Parameters:="HVAC_SU01B"."TT_SU01B_002".Parameters,
           Settings:="HVAC_SU01B"."TT_SU01B_002".Settings);
</t>
  </si>
  <si>
    <t xml:space="preserve">#TT_00103_001(measure:="TT-00103-001",_x000D_
reset:=#Unit.AHU.Command.General_reset,
           Process:=#Unit.TT_00103_001,
           InOut:="HVAC_R00103"."TT_00103_001".InOut,
           Parameters:="HVAC_R00103"."TT_00103_001".Parameters,
           Settings:="HVAC_R00103"."TT_00103_001".Settings);
</t>
  </si>
  <si>
    <t xml:space="preserve">#TT_00104_001(measure:="TT-00104-001",_x000D_
reset:=#Unit.AHU.Command.General_reset,
           Process:=#Unit.TT_00104_001,
           InOut:="HVAC_R00104"."TT_00104_001".InOut,
           Parameters:="HVAC_R00104"."TT_00104_001".Parameters,
           Settings:="HVAC_R00104"."TT_00104_001".Settings);
</t>
  </si>
  <si>
    <t xml:space="preserve">#TT_00106_001(measure:="TT-00106-001",_x000D_
reset:=#Unit.AHU.Command.General_reset,
           Process:=#Unit.TT_00106_001,
           InOut:="HVAC_R00106"."TT_00106_001".InOut,
           Parameters:="HVAC_R00106"."TT_00106_001".Parameters,
           Settings:="HVAC_R00106"."TT_00106_001".Settings);
</t>
  </si>
  <si>
    <t xml:space="preserve">#TT_00106_002(measure:="TT-00106-002",_x000D_
reset:=#Unit.AHU.Command.General_reset,
           Process:=#Unit.TT_00106_002,
           InOut:="HVAC_R00106"."TT_00106_002".InOut,
           Parameters:="HVAC_R00106"."TT_00106_002".Parameters,
           Settings:="HVAC_R00106"."TT_00106_002".Settings);
</t>
  </si>
  <si>
    <t xml:space="preserve">#TT_00107_001(measure:="TT-00107-001",_x000D_
reset:=#Unit.AHU.Command.General_reset,
           Process:=#Unit.TT_00107_001,
           InOut:="HVAC_R00107"."TT_00107_001".InOut,
           Parameters:="HVAC_R00107"."TT_00107_001".Parameters,
           Settings:="HVAC_R00107"."TT_00107_001".Settings);
</t>
  </si>
  <si>
    <t xml:space="preserve">#TT_00107_002(measure:="TT-00107-002",_x000D_
reset:=#Unit.AHU.Command.General_reset,
           Process:=#Unit.TT_00107_002,
           InOut:="HVAC_R00107"."TT_00107_002".InOut,
           Parameters:="HVAC_R00107"."TT_00107_002".Parameters,
           Settings:="HVAC_R00107"."TT_00107_002".Settings);
</t>
  </si>
  <si>
    <t xml:space="preserve">#TT_00108_001(measure:="TT-00108-001",_x000D_
reset:=#Unit.AHU.Command.General_reset,
           Process:=#Unit.TT_00108_001,
           InOut:="HVAC_R00108"."TT_00108_001".InOut,
           Parameters:="HVAC_R00108"."TT_00108_001".Parameters,
           Settings:="HVAC_R00108"."TT_00108_001".Settings);
</t>
  </si>
  <si>
    <t xml:space="preserve">#TT_00108_002(measure:="TT-00108-002",_x000D_
reset:=#Unit.AHU.Command.General_reset,
           Process:=#Unit.TT_00108_002,
           InOut:="HVAC_R00108"."TT_00108_002".InOut,
           Parameters:="HVAC_R00108"."TT_00108_002".Parameters,
           Settings:="HVAC_R00108"."TT_00108_002".Settings);
</t>
  </si>
  <si>
    <t xml:space="preserve">#TT_00109_001(measure:="TT-00109-001",_x000D_
reset:=#Unit.AHU.Command.General_reset,
           Process:=#Unit.TT_00109_001,
           InOut:="HVAC_R00109"."TT_00109_001".InOut,
           Parameters:="HVAC_R00109"."TT_00109_001".Parameters,
           Settings:="HVAC_R00109"."TT_00109_001".Settings);
</t>
  </si>
  <si>
    <t xml:space="preserve">#TT_00109_002(measure:="TT-00109-002",_x000D_
reset:=#Unit.AHU.Command.General_reset,
           Process:=#Unit.TT_00109_002,
           InOut:="HVAC_R00109"."TT_00109_002".InOut,
           Parameters:="HVAC_R00109"."TT_00109_002".Parameters,
           Settings:="HVAC_R00109"."TT_00109_002".Settings);
</t>
  </si>
  <si>
    <t xml:space="preserve">#TT_00110_001(measure:="TT-00110-001",_x000D_
reset:=#Unit.AHU.Command.General_reset,
           Process:=#Unit.TT_00110_001,
           InOut:="HVAC_R00110"."TT_00110_001".InOut,
           Parameters:="HVAC_R00110"."TT_00110_001".Parameters,
           Settings:="HVAC_R00110"."TT_00110_001".Settings);
</t>
  </si>
  <si>
    <t xml:space="preserve">#TT_00110_002(measure:="TT-00110-002",_x000D_
reset:=#Unit.AHU.Command.General_reset,
           Process:=#Unit.TT_00110_002,
           InOut:="HVAC_R00110"."TT_00110_002".InOut,
           Parameters:="HVAC_R00110"."TT_00110_002".Parameters,
           Settings:="HVAC_R00110"."TT_00110_002".Settings);
</t>
  </si>
  <si>
    <t xml:space="preserve">#TT_00111_001(measure:="TT-00111-001",_x000D_
reset:=#Unit.AHU.Command.General_reset,
           Process:=#Unit.TT_00111_001,
           InOut:="HVAC_R00111"."TT_00111_001".InOut,
           Parameters:="HVAC_R00111"."TT_00111_001".Parameters,
           Settings:="HVAC_R00111"."TT_00111_001".Settings);
</t>
  </si>
  <si>
    <t xml:space="preserve">#TT_00115_001(measure:="TT-00115-001",_x000D_
reset:=#Unit.AHU.Command.General_reset,
           Process:=#Unit.TT_00115_001,
           InOut:="HVAC_R00115"."TT_00115_001".InOut,
           Parameters:="HVAC_R00115"."TT_00115_001".Parameters,
           Settings:="HVAC_R00115"."TT_00115_001".Settings);
</t>
  </si>
  <si>
    <t xml:space="preserve">#PT_SF1_SU01_001(measure:="PT-SF1-SU01-001",_x000D_
reset:=#Unit.AHU.Command.General_reset,
           Process:=#Unit.PT_SF1_SU01_001,
           InOut:="HVAC_SU01"."PT_SF1_SU01_001".InOut,
           Parameters:="HVAC_SU01"."PT_SF1_SU01_001".Parameters,
           Settings:="HVAC_SU01"."PT_SF1_SU01_001".Settings);
</t>
  </si>
  <si>
    <t xml:space="preserve">#PT_SF2_SU01_001(measure:="PT-SF2-SU01-001",_x000D_
reset:=#Unit.AHU.Command.General_reset,
           Process:=#Unit.PT_SF2_SU01_001,
           InOut:="HVAC_SU01"."PT_SF2_SU01_001".InOut,
           Parameters:="HVAC_SU01"."PT_SF2_SU01_001".Parameters,
           Settings:="HVAC_SU01"."PT_SF2_SU01_001".Settings);
</t>
  </si>
  <si>
    <t xml:space="preserve">#PT_SU01_001(measure:="PT-SU01-001",_x000D_
reset:=#Unit.AHU.Command.General_reset,
           Process:=#Unit.PT_SU01_001,
           InOut:="HVAC_SU01"."PT_SU01_001".InOut,
           Parameters:="HVAC_SU01"."PT_SU01_001".Parameters,
           Settings:="HVAC_SU01"."PT_SU01_001".Settings);
</t>
  </si>
  <si>
    <t xml:space="preserve">#PT_SU01_002(measure:="PT-SU01-002",_x000D_
reset:=#Unit.AHU.Command.General_reset,
           Process:=#Unit.PT_SU01_002,
           InOut:="HVAC_SU01"."PT_SU01_002".InOut,
           Parameters:="HVAC_SU01"."PT_SU01_002".Parameters,
           Settings:="HVAC_SU01"."PT_SU01_002".Settings);
</t>
  </si>
  <si>
    <t xml:space="preserve">#PT_EF1_SU01_001(measure:="PT-EF1-SU01-001",_x000D_
reset:=#Unit.AHU.Command.General_reset,
           Process:=#Unit.PT_EF1_SU01_001,
           InOut:="HVAC_SU01"."PT_EF1_SU01_001".InOut,
           Parameters:="HVAC_SU01"."PT_EF1_SU01_001".Parameters,
           Settings:="HVAC_SU01"."PT_EF1_SU01_001".Settings);
</t>
  </si>
  <si>
    <t xml:space="preserve">#PT_EF2_SU01_001(measure:="PT-EF2-SU01-001",_x000D_
reset:=#Unit.AHU.Command.General_reset,
           Process:=#Unit.PT_EF2_SU01_001,
           InOut:="HVAC_SU01"."PT_EF2_SU01_001".InOut,
           Parameters:="HVAC_SU01"."PT_EF2_SU01_001".Parameters,
           Settings:="HVAC_SU01"."PT_EF2_SU01_001".Settings);
</t>
  </si>
  <si>
    <t xml:space="preserve">#PT_SF1_SU01B_001(measure:="PT-SF1-SU01B-001",_x000D_
reset:=#Unit.AHU.Command.General_reset,
           Process:=#Unit.PT_SF1_SU01B_001,
           InOut:="HVAC_SU01B"."PT_SF1_SU01B_001".InOut,
           Parameters:="HVAC_SU01B"."PT_SF1_SU01B_001".Parameters,
           Settings:="HVAC_SU01B"."PT_SF1_SU01B_001".Settings);
</t>
  </si>
  <si>
    <t xml:space="preserve">#PT_SU01B_001(measure:="PT-SU01B-001",_x000D_
reset:=#Unit.AHU.Command.General_reset,
           Process:=#Unit.PT_SU01B_001,
           InOut:="HVAC_SU01B"."PT_SU01B_001".InOut,
           Parameters:="HVAC_SU01B"."PT_SU01B_001".Parameters,
           Settings:="HVAC_SU01B"."PT_SU01B_001".Settings);
</t>
  </si>
  <si>
    <t xml:space="preserve">#PT_SU01B_002(measure:="PT-SU01B-002",_x000D_
reset:=#Unit.AHU.Command.General_reset,
           Process:=#Unit.PT_SU01B_002,
           InOut:="HVAC_SU01B"."PT_SU01B_002".InOut,
           Parameters:="HVAC_SU01B"."PT_SU01B_002".Parameters,
           Settings:="HVAC_SU01B"."PT_SU01B_002".Settings);
</t>
  </si>
  <si>
    <t xml:space="preserve">#PT_EF1_SU01B_001(measure:="PT-EF1-SU01B-001",_x000D_
reset:=#Unit.AHU.Command.General_reset,
           Process:=#Unit.PT_EF1_SU01B_001,
           InOut:="HVAC_SU01B"."PT_EF1_SU01B_001".InOut,
           Parameters:="HVAC_SU01B"."PT_EF1_SU01B_001".Parameters,
           Settings:="HVAC_SU01B"."PT_EF1_SU01B_001".Settings);
</t>
  </si>
  <si>
    <t xml:space="preserve">#PT_F2_SU01_001(measure:="PT-F2-SU01-001",_x000D_
reset:=#Unit.AHU.Command.General_reset,
           Process:=#Unit.PT_F2_SU01_001,
           InOut:="HVAC_SU01"."PT_F2_SU01_001".InOut,
           Parameters:="HVAC_SU01"."PT_F2_SU01_001".Parameters,
           Settings:="HVAC_SU01"."PT_F2_SU01_001".Settings);
</t>
  </si>
  <si>
    <t xml:space="preserve">#PT_F2_SU01B_001(measure:="PT-F2-SU01B-001",_x000D_
reset:=#Unit.AHU.Command.General_reset,
           Process:=#Unit.PT_F2_SU01B_001,
           InOut:="HVAC_SU01B"."PT_F2_SU01B_001".InOut,
           Parameters:="HVAC_SU01B"."PT_F2_SU01B_001".Parameters,
           Settings:="HVAC_SU01B"."PT_F2_SU01B_001".Settings);
</t>
  </si>
  <si>
    <t xml:space="preserve">#PT_FU_00103(measure:="PT-FU-00103",_x000D_
reset:=#Unit.AHU.Command.General_reset,
           Process:=#Unit.PT_FU_00103,
           InOut:="HVAC_R00103"."PT_FU_00103".InOut,
           Parameters:="HVAC_R00103"."PT_FU_00103".Parameters,
           Settings:="HVAC_R00103"."PT_FU_00103".Settings);
</t>
  </si>
  <si>
    <t xml:space="preserve">#PT_FU_00104(measure:="PT-FU-00104",_x000D_
reset:=#Unit.AHU.Command.General_reset,
           Process:=#Unit.PT_FU_00104,
           InOut:="HVAC_R00104"."PT_FU_00104".InOut,
           Parameters:="HVAC_R00104"."PT_FU_00104".Parameters,
           Settings:="HVAC_R00104"."PT_FU_00104".Settings);
</t>
  </si>
  <si>
    <t xml:space="preserve">#PT_FU_00115(measure:="PT-FU-00115",_x000D_
reset:=#Unit.AHU.Command.General_reset,
           Process:=#Unit.PT_FU_00115,
           InOut:="HVAC_R00115"."PT_FU_00115".InOut,
           Parameters:="HVAC_R00115"."PT_FU_00115".Parameters,
           Settings:="HVAC_R00115"."PT_FU_00115".Settings);
</t>
  </si>
  <si>
    <t xml:space="preserve">#PDT_00101_001(measure:="PDT-00101-001",_x000D_
reset:=#Unit.AHU.Command.General_reset,
           Process:=#Unit.PDT_00101_001,
           InOut:="HVAC_R00101"."PDT_00101_001".InOut,
           Parameters:="HVAC_R00101"."PDT_00101_001".Parameters,
           Settings:="HVAC_R00101"."PDT_00101_001".Settings);
</t>
  </si>
  <si>
    <t xml:space="preserve">#PDT_00102_001(measure:="PDT-00102-001",_x000D_
reset:=#Unit.AHU.Command.General_reset,
           Process:=#Unit.PDT_00102_001,
           InOut:="HVAC_R00102"."PDT_00102_001".InOut,
           Parameters:="HVAC_R00102"."PDT_00102_001".Parameters,
           Settings:="HVAC_R00102"."PDT_00102_001".Settings);
</t>
  </si>
  <si>
    <t xml:space="preserve">#PDT_00103_001(measure:="PDT-00103-001",_x000D_
reset:=#Unit.AHU.Command.General_reset,
           Process:=#Unit.PDT_00103_001,
           InOut:="HVAC_R00103"."PDT_00103_001".InOut,
           Parameters:="HVAC_R00103"."PDT_00103_001".Parameters,
           Settings:="HVAC_R00103"."PDT_00103_001".Settings);
</t>
  </si>
  <si>
    <t xml:space="preserve">#PDT_00104_001(measure:="PDT-00104-001",_x000D_
reset:=#Unit.AHU.Command.General_reset,
           Process:=#Unit.PDT_00104_001,
           InOut:="HVAC_R00104"."PDT_00104_001".InOut,
           Parameters:="HVAC_R00104"."PDT_00104_001".Parameters,
           Settings:="HVAC_R00104"."PDT_00104_001".Settings);
</t>
  </si>
  <si>
    <t xml:space="preserve">#PDT_00105_001(measure:="PDT-00105-001",_x000D_
reset:=#Unit.AHU.Command.General_reset,
           Process:=#Unit.PDT_00105_001,
           InOut:="HVAC_R00105"."PDT_00105_001".InOut,
           Parameters:="HVAC_R00105"."PDT_00105_001".Parameters,
           Settings:="HVAC_R00105"."PDT_00105_001".Settings);
</t>
  </si>
  <si>
    <t xml:space="preserve">#PDT_00106_001(measure:="PDT-00106-001",_x000D_
reset:=#Unit.AHU.Command.General_reset,
           Process:=#Unit.PDT_00106_001,
           InOut:="HVAC_R00106"."PDT_00106_001".InOut,
           Parameters:="HVAC_R00106"."PDT_00106_001".Parameters,
           Settings:="HVAC_R00106"."PDT_00106_001".Settings);
</t>
  </si>
  <si>
    <t xml:space="preserve">#PT_00106_001(measure:="PT-00106-001",_x000D_
reset:=#Unit.AHU.Command.General_reset,
           Process:=#Unit.PT_00106_001,
           InOut:="HVAC_R00106"."PT_00106_001".InOut,
           Parameters:="HVAC_R00106"."PT_00106_001".Parameters,
           Settings:="HVAC_R00106"."PT_00106_001".Settings);
</t>
  </si>
  <si>
    <t xml:space="preserve">#PDT_00111_001(measure:="PDT-00111-001",_x000D_
reset:=#Unit.AHU.Command.General_reset,
           Process:=#Unit.PDT_00111_001,
           InOut:="HVAC_R00111"."PDT_00111_001".InOut,
           Parameters:="HVAC_R00111"."PDT_00111_001".Parameters,
           Settings:="HVAC_R00111"."PDT_00111_001".Settings);
</t>
  </si>
  <si>
    <t xml:space="preserve">#PDT_00112_001(measure:="PDT-00112-001",_x000D_
reset:=#Unit.AHU.Command.General_reset,
           Process:=#Unit.PDT_00112_001,
           InOut:="HVAC_R00112"."PDT_00112_001".InOut,
           Parameters:="HVAC_R00112"."PDT_00112_001".Parameters,
           Settings:="HVAC_R00112"."PDT_00112_001".Settings);
</t>
  </si>
  <si>
    <t xml:space="preserve">#PDT_00113_001(measure:="PDT-00113-001",_x000D_
reset:=#Unit.AHU.Command.General_reset,
           Process:=#Unit.PDT_00113_001,
           InOut:="HVAC_R00113"."PDT_00113_001".InOut,
           Parameters:="HVAC_R00113"."PDT_00113_001".Parameters,
           Settings:="HVAC_R00113"."PDT_00113_001".Settings);
</t>
  </si>
  <si>
    <t xml:space="preserve">#PDT_00114_001(measure:="PDT-00114-001",_x000D_
reset:=#Unit.AHU.Command.General_reset,
           Process:=#Unit.PDT_00114_001,
           InOut:="HVAC_R00114"."PDT_00114_001".InOut,
           Parameters:="HVAC_R00114"."PDT_00114_001".Parameters,
           Settings:="HVAC_R00114"."PDT_00114_001".Settings);
</t>
  </si>
  <si>
    <t xml:space="preserve">#PDT_00115_001(measure:="PDT-00115-001",_x000D_
reset:=#Unit.AHU.Command.General_reset,
           Process:=#Unit.PDT_00115_001,
           InOut:="HVAC_R00115"."PDT_00115_001".InOut,
           Parameters:="HVAC_R00115"."PDT_00115_001".Parameters,
           Settings:="HVAC_R00115"."PDT_00115_001".Settings);
</t>
  </si>
  <si>
    <t xml:space="preserve">#PDT_00116_001(measure:="PDT-00116-001",_x000D_
reset:=#Unit.AHU.Command.General_reset,
           Process:=#Unit.PDT_00116_001,
           InOut:="HVAC_R00116"."PDT_00116_001".InOut,
           Parameters:="HVAC_R00116"."PDT_00116_001".Parameters,
           Settings:="HVAC_R00116"."PDT_00116_001".Settings);
</t>
  </si>
  <si>
    <t xml:space="preserve">#PT_SF1_SU01_001_F(calculatedMeasure:="DpToFlowNozzle"(pressure:=#Unit.#PT_SF1_SU01_001.processValue, flowFactor:="HVAC_PLC_Parameters".K_Factor.PT_SF1_SU01_001),_x000D_
reset:=#Unit.AHU.Command.General_reset,
           Process:=#Unit.PT_SF1_SU01_001_F,
           InOut:="HVAC_SU01"."PT_SF1_SU01_001_F".InOut,
           Parameters:="HVAC_SU01"."PT_SF1_SU01_001_F".Parameters,
           Settings:="HVAC_SU01"."PT_SF1_SU01_001_F".Settings);
</t>
  </si>
  <si>
    <t xml:space="preserve">#PT_SF2_SU01_001_F(calculatedMeasure:="DpToFlowNozzle"(pressure:=#Unit.#PT_SF2_SU01_001.processValue, flowFactor:="HVAC_PLC_Parameters".K_Factor.PT_SF2_SU01_001),_x000D_
reset:=#Unit.AHU.Command.General_reset,
           Process:=#Unit.PT_SF2_SU01_001_F,
           InOut:="HVAC_SU01"."PT_SF2_SU01_001_F".InOut,
           Parameters:="HVAC_SU01"."PT_SF2_SU01_001_F".Parameters,
           Settings:="HVAC_SU01"."PT_SF2_SU01_001_F".Settings);
</t>
  </si>
  <si>
    <t xml:space="preserve">#PT_EF1_SU01_001_F(calculatedMeasure:="DpToFlowNozzle"(pressure:=#Unit.#PT_EF1_SU01_001.processValue, flowFactor:="HVAC_PLC_Parameters".K_Factor.PT_EF1_SU01_001),_x000D_
reset:=#Unit.AHU.Command.General_reset,
           Process:=#Unit.PT_EF1_SU01_001_F,
           InOut:="HVAC_SU01"."PT_EF1_SU01_001_F".InOut,
           Parameters:="HVAC_SU01"."PT_EF1_SU01_001_F".Parameters,
           Settings:="HVAC_SU01"."PT_EF1_SU01_001_F".Settings);
</t>
  </si>
  <si>
    <t xml:space="preserve">#PT_EF2_SU01_001_F(calculatedMeasure:="DpToFlowNozzle"(pressure:=#Unit.#PT_EF2_SU01_001.processValue, flowFactor:="HVAC_PLC_Parameters".K_Factor.PT_EF2_SU01_001),_x000D_
reset:=#Unit.AHU.Command.General_reset,
           Process:=#Unit.PT_EF2_SU01_001_F,
           InOut:="HVAC_SU01"."PT_EF2_SU01_001_F".InOut,
           Parameters:="HVAC_SU01"."PT_EF2_SU01_001_F".Parameters,
           Settings:="HVAC_SU01"."PT_EF2_SU01_001_F".Settings);
</t>
  </si>
  <si>
    <t xml:space="preserve">#PT_SF1_SU01B_001_F(calculatedMeasure:="DpToFlowNozzle"(pressure:=#Unit.#PT_SF1_SU01B_001.processValue, flowFactor:="HVAC_PLC_Parameters".K_Factor.PT_SF1_SU01B_001),_x000D_
reset:=#Unit.AHU.Command.General_reset,
           Process:=#Unit.PT_SF1_SU01B_001_F,
           InOut:="HVAC_SU01B"."PT_SF1_SU01B_001_F".InOut,
           Parameters:="HVAC_SU01B"."PT_SF1_SU01B_001_F".Parameters,
           Settings:="HVAC_SU01B"."PT_SF1_SU01B_001_F".Settings);
</t>
  </si>
  <si>
    <t xml:space="preserve">#PT_EF1_SU01B_001_F(calculatedMeasure:="DpToFlowNozzle"(pressure:=#Unit.#PT_EF1_SU01B_001.processValue, flowFactor:="HVAC_PLC_Parameters".K_Factor.PT_EF1_SU01B_001),_x000D_
reset:=#Unit.AHU.Command.General_reset,
           Process:=#Unit.PT_EF1_SU01B_001_F,
           InOut:="HVAC_SU01B"."PT_EF1_SU01B_001_F".InOut,
           Parameters:="HVAC_SU01B"."PT_EF1_SU01B_001_F".Parameters,
           Settings:="HVAC_SU01B"."PT_EF1_SU01B_001_F".Settings);
</t>
  </si>
  <si>
    <t xml:space="preserve">#PT_FU_00103_F(calculatedMeasure:="DpToFlowNozzle"(pressure:=#Unit.#PT_FU_00103.processValue, flowFactor:="HVAC_PLC_Parameters".K_Factor.PT_FU_00103),_x000D_
reset:=#Unit.AHU.Command.General_reset,
           Process:=#Unit.PT_FU_00103_F,
           InOut:="HVAC_R00103"."PT_FU_00103_F".InOut,
           Parameters:="HVAC_R00103"."PT_FU_00103_F".Parameters,
           Settings:="HVAC_R00103"."PT_FU_00103_F".Settings);
</t>
  </si>
  <si>
    <t xml:space="preserve">#PT_FU_00104_F(calculatedMeasure:="DpToFlowNozzle"(pressure:=#Unit.#PT_FU_00104.processValue, flowFactor:="HVAC_PLC_Parameters".K_Factor.PT_FU_00104),_x000D_
reset:=#Unit.AHU.Command.General_reset,
           Process:=#Unit.PT_FU_00104_F,
           InOut:="HVAC_R00104"."PT_FU_00104_F".InOut,
           Parameters:="HVAC_R00104"."PT_FU_00104_F".Parameters,
           Settings:="HVAC_R00104"."PT_FU_00104_F".Settings);
</t>
  </si>
  <si>
    <t xml:space="preserve">#PT_FU_00115_F(calculatedMeasure:="DpToFlowNozzle"(pressure:=#Unit.#PT_FU_00115.processValue, flowFactor:="HVAC_PLC_Parameters".K_Factor.PT_FU_00115),_x000D_
reset:=#Unit.AHU.Command.General_reset,
           Process:=#Unit.PT_FU_00115_F,
           InOut:="HVAC_R00115"."PT_FU_00115_F".InOut,
           Parameters:="HVAC_R00115"."PT_FU_00115_F".Parameters,
           Settings:="HVAC_R00115"."PT_FU_00115_F".Settings);
</t>
  </si>
  <si>
    <t xml:space="preserve">#CEM_00103_001(fbOpen:="CEM-00103-001_OPEN",_x000D_
fbClosed:="CEM-00103-001_CLOSED",_x000D_
openCommand:="CEM-00103-001_CMD",_x000D_
reset:=#Unit.AHU.Command.General_reset,
           Process:=#Unit.CEM_00103_001,
          InOut:="HVAC_R00103"."CEM_00103_001".InOut,
          Parameters:="HVAC_R00103"."CEM_00103_001".Parameters,
          Settings:="HVAC_R00103"."CEM_00103_001".Settings,
          Statistic:="HVAC_R00103"."CEM_00103_001".Statistics);
</t>
  </si>
  <si>
    <t xml:space="preserve">#CEM_00103_002(fbOpen:="CEM-00103-002_OPEN",_x000D_
fbClosed:="CEM-00103-002_CLOSED",_x000D_
openCommand:="CEM-00103-002_CMD",_x000D_
reset:=#Unit.AHU.Command.General_reset,
           Process:=#Unit.CEM_00103_002,
          InOut:="HVAC_R00103"."CEM_00103_002".InOut,
          Parameters:="HVAC_R00103"."CEM_00103_002".Parameters,
          Settings:="HVAC_R00103"."CEM_00103_002".Settings,
          Statistic:="HVAC_R00103"."CEM_00103_002".Statistics);
</t>
  </si>
  <si>
    <t xml:space="preserve">#CEM_00104_001(fbOpen:="CEM-00104-001_OPEN",_x000D_
fbClosed:="CEM-00104-001_CLOSED",_x000D_
openCommand:="CEM-00104-001_CMD",_x000D_
reset:=#Unit.AHU.Command.General_reset,
           Process:=#Unit.CEM_00104_001,
          InOut:="HVAC_R00104"."CEM_00104_001".InOut,
          Parameters:="HVAC_R00104"."CEM_00104_001".Parameters,
          Settings:="HVAC_R00104"."CEM_00104_001".Settings,
          Statistic:="HVAC_R00104"."CEM_00104_001".Statistics);
</t>
  </si>
  <si>
    <t xml:space="preserve">#CEM_00104_002(fbOpen:="CEM-00104-002_OPEN",_x000D_
fbClosed:="CEM-00104-002_CLOSED",_x000D_
openCommand:="CEM-00104-002_CMD",_x000D_
reset:=#Unit.AHU.Command.General_reset,
           Process:=#Unit.CEM_00104_002,
          InOut:="HVAC_R00104"."CEM_00104_002".InOut,
          Parameters:="HVAC_R00104"."CEM_00104_002".Parameters,
          Settings:="HVAC_R00104"."CEM_00104_002".Settings,
          Statistic:="HVAC_R00104"."CEM_00104_002".Statistics);
</t>
  </si>
  <si>
    <t xml:space="preserve">#CEM_00115_001(fbOpen:="CEM-00115-001_OPEN",_x000D_
fbClosed:="CEM-00115-001_CLOSED",_x000D_
openCommand:="CEM-00115-001_CMD",_x000D_
reset:=#Unit.AHU.Command.General_reset,
           Process:=#Unit.CEM_00115_001,
          InOut:="HVAC_R00115"."CEM_00115_001".InOut,
          Parameters:="HVAC_R00115"."CEM_00115_001".Parameters,
          Settings:="HVAC_R00115"."CEM_00115_001".Settings,
          Statistic:="HVAC_R00115"."CEM_00115_001".Statistics);
</t>
  </si>
  <si>
    <t xml:space="preserve">#CEM_00115_002(fbOpen:="CEM-00115-002_OPEN",_x000D_
fbClosed:="CEM-00115-002_CLOSED",_x000D_
openCommand:="CEM-00115-002_CMD",_x000D_
reset:=#Unit.AHU.Command.General_reset,
           Process:=#Unit.CEM_00115_002,
          InOut:="HVAC_R00115"."CEM_00115_002".InOut,
          Parameters:="HVAC_R00115"."CEM_00115_002".Parameters,
          Settings:="HVAC_R00115"."CEM_00115_002".Settings,
          Statistic:="HVAC_R00115"."CEM_00115_002".Statistics);
</t>
  </si>
  <si>
    <t xml:space="preserve">#CEM_SU01B_001(fbOpen:="CEM-SU01B-001_OPEN",_x000D_
fbClosed:="CEM-SU01B-001_CLOSED",_x000D_
openCommand:="CEM-SU01B-001_CMD",_x000D_
reset:=#Unit.AHU.Command.General_reset,
           Process:=#Unit.CEM_SU01B_001,
          InOut:="HVAC_SU01B"."CEM_SU01B_001".InOut,
          Parameters:="HVAC_SU01B"."CEM_SU01B_001".Parameters,
          Settings:="HVAC_SU01B"."CEM_SU01B_001".Settings,
          Statistic:="HVAC_SU01B"."CEM_SU01B_001".Statistics);
</t>
  </si>
  <si>
    <t xml:space="preserve">#CEM_SU01B_003(fbOpen:="CEM-SU01B-003_OPEN",_x000D_
fbClosed:="CEM-SU01B-003_CLOSED",_x000D_
openCommand:="CEM-SU01B-003_CMD",_x000D_
reset:=#Unit.AHU.Command.General_reset,
           Process:=#Unit.CEM_SU01B_003,
          InOut:="HVAC_SU01B"."CEM_SU01B_003".InOut,
          Parameters:="HVAC_SU01B"."CEM_SU01B_003".Parameters,
          Settings:="HVAC_SU01B"."CEM_SU01B_003".Settings,
          Statistic:="HVAC_SU01B"."CEM_SU01B_003".Statistics);
</t>
  </si>
  <si>
    <t xml:space="preserve">#CAV_SU01_001(comError:="ModbusStations".CAV_SU01_001.Station.Status.ErrorComm,_x000D_
fbOpen:=CommDamperOpen(threshold:=#CAV_SU01_001.openThreshold, Fbk:="ModbusStations".CAV_SU01_001.Data.Fbk),_x000D_
fbClosed:=CommDamperClosed(threshold:=#CAV_SU01_001.closedThreshold, Fbk:="ModbusStations".CAV_SU01_001.Data.Fbk),_x000D_
feedback:="ModbusStations".CAV_SU01_001.Data.Fbk.RelativeVolumetricFlow,_x000D_
reference:="ModbusStations".CAV_SU01_001.Data.Cmd.Setpoint,_x000D_
reset:=#Unit.AHU.Command.General_reset,
           Process:=#Unit.CAV_SU01_001,
          InOut:="HVAC_SU01"."CAV_SU01_001".InOut,
          Parameters:="HVAC_SU01"."CAV_SU01_001".Parameters,
          Settings:="HVAC_SU01"."CAV_SU01_001".Settings,
          Statistic:="HVAC_SU01"."CAV_SU01_001".Statistics);
</t>
  </si>
  <si>
    <t xml:space="preserve">#CAV_SU01_002(comError:="ModbusStations".CAV_SU01_002.Station.Status.ErrorComm,_x000D_
fbOpen:=CommDamperOpen(threshold:=#CAV_SU01_002.openThreshold, Fbk:="ModbusStations".CAV_SU01_002.Data.Fbk),_x000D_
fbClosed:=CommDamperClosed(threshold:=#CAV_SU01_002.closedThreshold, Fbk:="ModbusStations".CAV_SU01_002.Data.Fbk),_x000D_
feedback:="ModbusStations".CAV_SU01_002.Data.Fbk.RelativeVolumetricFlow,_x000D_
reference:="ModbusStations".CAV_SU01_002.Data.Cmd.Setpoint,_x000D_
reset:=#Unit.AHU.Command.General_reset,
           Process:=#Unit.CAV_SU01_002,
          InOut:="HVAC_SU01"."CAV_SU01_002".InOut,
          Parameters:="HVAC_SU01"."CAV_SU01_002".Parameters,
          Settings:="HVAC_SU01"."CAV_SU01_002".Settings,
          Statistic:="HVAC_SU01"."CAV_SU01_002".Statistics);
</t>
  </si>
  <si>
    <t xml:space="preserve">#CAV_SU01_003(comError:="ModbusStations".CAV_SU01_003.Station.Status.ErrorComm,_x000D_
fbOpen:=CommDamperOpen(threshold:=#CAV_SU01_003.openThreshold, Fbk:="ModbusStations".CAV_SU01_003.Data.Fbk),_x000D_
fbClosed:=CommDamperClosed(threshold:=#CAV_SU01_003.closedThreshold, Fbk:="ModbusStations".CAV_SU01_003.Data.Fbk),_x000D_
feedback:="ModbusStations".CAV_SU01_003.Data.Fbk.RelativeVolumetricFlow,_x000D_
reference:="ModbusStations".CAV_SU01_003.Data.Cmd.Setpoint,_x000D_
reset:=#Unit.AHU.Command.General_reset,
           Process:=#Unit.CAV_SU01_003,
          InOut:="HVAC_SU01"."CAV_SU01_003".InOut,
          Parameters:="HVAC_SU01"."CAV_SU01_003".Parameters,
          Settings:="HVAC_SU01"."CAV_SU01_003".Settings,
          Statistic:="HVAC_SU01"."CAV_SU01_003".Statistics);
</t>
  </si>
  <si>
    <t xml:space="preserve">#CAV_SU01_004(comError:="ModbusStations".CAV_SU01_004.Station.Status.ErrorComm,_x000D_
fbOpen:=CommDamperOpen(threshold:=#CAV_SU01_004.openThreshold, Fbk:="ModbusStations".CAV_SU01_004.Data.Fbk),_x000D_
fbClosed:=CommDamperClosed(threshold:=#CAV_SU01_004.closedThreshold, Fbk:="ModbusStations".CAV_SU01_004.Data.Fbk),_x000D_
feedback:="ModbusStations".CAV_SU01_004.Data.Fbk.RelativeVolumetricFlow,_x000D_
reference:="ModbusStations".CAV_SU01_004.Data.Cmd.Setpoint,_x000D_
reset:=#Unit.AHU.Command.General_reset,
           Process:=#Unit.CAV_SU01_004,
          InOut:="HVAC_SU01"."CAV_SU01_004".InOut,
          Parameters:="HVAC_SU01"."CAV_SU01_004".Parameters,
          Settings:="HVAC_SU01"."CAV_SU01_004".Settings,
          Statistic:="HVAC_SU01"."CAV_SU01_004".Statistics);
</t>
  </si>
  <si>
    <t xml:space="preserve">#CAV_SU01B_001(comError:="ModbusStations".CAV_SU01B_001.Station.Status.ErrorComm,_x000D_
fbOpen:=CommDamperOpen(threshold:=#CAV_SU01B_001.openThreshold, Fbk:="ModbusStations".CAV_SU01B_001.Data.Fbk),_x000D_
fbClosed:=CommDamperClosed(threshold:=#CAV_SU01B_001.closedThreshold, Fbk:="ModbusStations".CAV_SU01B_001.Data.Fbk),_x000D_
feedback:="ModbusStations".CAV_SU01B_001.Data.Fbk.RelativeVolumetricFlow,_x000D_
reference:="ModbusStations".CAV_SU01B_001.Data.Cmd.Setpoint,_x000D_
reset:=#Unit.AHU.Command.General_reset,
           Process:=#Unit.CAV_SU01B_001,
          InOut:="HVAC_SU01B"."CAV_SU01B_001".InOut,
          Parameters:="HVAC_SU01B"."CAV_SU01B_001".Parameters,
          Settings:="HVAC_SU01B"."CAV_SU01B_001".Settings,
          Statistic:="HVAC_SU01B"."CAV_SU01B_001".Statistics);
</t>
  </si>
  <si>
    <t xml:space="preserve">#CAV_SU01B_002(comError:="ModbusStations".CAV_SU01B_002.Station.Status.ErrorComm,_x000D_
fbOpen:=CommDamperOpen(threshold:=#CAV_SU01B_002.openThreshold, Fbk:="ModbusStations".CAV_SU01B_002.Data.Fbk),_x000D_
fbClosed:=CommDamperClosed(threshold:=#CAV_SU01B_002.closedThreshold, Fbk:="ModbusStations".CAV_SU01B_002.Data.Fbk),_x000D_
feedback:="ModbusStations".CAV_SU01B_002.Data.Fbk.RelativeVolumetricFlow,_x000D_
reference:="ModbusStations".CAV_SU01B_002.Data.Cmd.Setpoint,_x000D_
reset:=#Unit.AHU.Command.General_reset,
           Process:=#Unit.CAV_SU01B_002,
          InOut:="HVAC_SU01B"."CAV_SU01B_002".InOut,
          Parameters:="HVAC_SU01B"."CAV_SU01B_002".Parameters,
          Settings:="HVAC_SU01B"."CAV_SU01B_002".Settings,
          Statistic:="HVAC_SU01B"."CAV_SU01B_002".Statistics);
</t>
  </si>
  <si>
    <t xml:space="preserve">#CAV_SU01B_003(comError:="ModbusStations".CAV_SU01B_003.Station.Status.ErrorComm,_x000D_
fbOpen:=CommDamperOpen(threshold:=#CAV_SU01B_003.openThreshold, Fbk:="ModbusStations".CAV_SU01B_003.Data.Fbk),_x000D_
fbClosed:=CommDamperClosed(threshold:=#CAV_SU01B_003.closedThreshold, Fbk:="ModbusStations".CAV_SU01B_003.Data.Fbk),_x000D_
feedback:="ModbusStations".CAV_SU01B_003.Data.Fbk.RelativeVolumetricFlow,_x000D_
reference:="ModbusStations".CAV_SU01B_003.Data.Cmd.Setpoint,_x000D_
reset:=#Unit.AHU.Command.General_reset,
           Process:=#Unit.CAV_SU01B_003,
          InOut:="HVAC_SU01B"."CAV_SU01B_003".InOut,
          Parameters:="HVAC_SU01B"."CAV_SU01B_003".Parameters,
          Settings:="HVAC_SU01B"."CAV_SU01B_003".Settings,
          Statistic:="HVAC_SU01B"."CAV_SU01B_003".Statistics);
</t>
  </si>
  <si>
    <t xml:space="preserve">#CAV_SU01B_004(comError:="ModbusStations".CAV_SU01B_004.Station.Status.ErrorComm,_x000D_
fbOpen:=CommDamperOpen(threshold:=#CAV_SU01B_004.openThreshold, Fbk:="ModbusStations".CAV_SU01B_004.Data.Fbk),_x000D_
fbClosed:=CommDamperClosed(threshold:=#CAV_SU01B_004.closedThreshold, Fbk:="ModbusStations".CAV_SU01B_004.Data.Fbk),_x000D_
feedback:="ModbusStations".CAV_SU01B_004.Data.Fbk.RelativeVolumetricFlow,_x000D_
reference:="ModbusStations".CAV_SU01B_004.Data.Cmd.Setpoint,_x000D_
reset:=#Unit.AHU.Command.General_reset,
           Process:=#Unit.CAV_SU01B_004,
          InOut:="HVAC_SU01B"."CAV_SU01B_004".InOut,
          Parameters:="HVAC_SU01B"."CAV_SU01B_004".Parameters,
          Settings:="HVAC_SU01B"."CAV_SU01B_004".Settings,
          Statistic:="HVAC_SU01B"."CAV_SU01B_004".Statistics);
</t>
  </si>
  <si>
    <t xml:space="preserve">#CAV_00101_001(comError:="ModbusStations".CAV_00101_001.Station.Status.ErrorComm,_x000D_
fbOpen:=CommDamperOpen(threshold:=#CAV_00101_001.openThreshold, Fbk:="ModbusStations".CAV_00101_001.Data.Fbk),_x000D_
fbClosed:=CommDamperClosed(threshold:=#CAV_00101_001.closedThreshold, Fbk:="ModbusStations".CAV_00101_001.Data.Fbk),_x000D_
feedback:="ModbusStations".CAV_00101_001.Data.Fbk.RelativeVolumetricFlow,_x000D_
reference:="ModbusStations".CAV_00101_001.Data.Cmd.Setpoint,_x000D_
reset:=#Unit.AHU.Command.General_reset,
           Process:=#Unit.CAV_00101_001,
          InOut:="HVAC_R00101"."CAV_00101_001".InOut,
          Parameters:="HVAC_R00101"."CAV_00101_001".Parameters,
          Settings:="HVAC_R00101"."CAV_00101_001".Settings,
          Statistic:="HVAC_R00101"."CAV_00101_001".Statistics);
</t>
  </si>
  <si>
    <t xml:space="preserve">#CAV_00102_001(comError:="ModbusStations".CAV_00102_001.Station.Status.ErrorComm,_x000D_
fbOpen:=CommDamperOpen(threshold:=#CAV_00102_001.openThreshold, Fbk:="ModbusStations".CAV_00102_001.Data.Fbk),_x000D_
fbClosed:=CommDamperClosed(threshold:=#CAV_00102_001.closedThreshold, Fbk:="ModbusStations".CAV_00102_001.Data.Fbk),_x000D_
feedback:="ModbusStations".CAV_00102_001.Data.Fbk.RelativeVolumetricFlow,_x000D_
reference:="ModbusStations".CAV_00102_001.Data.Cmd.Setpoint,_x000D_
reset:=#Unit.AHU.Command.General_reset,
           Process:=#Unit.CAV_00102_001,
          InOut:="HVAC_R00102"."CAV_00102_001".InOut,
          Parameters:="HVAC_R00102"."CAV_00102_001".Parameters,
          Settings:="HVAC_R00102"."CAV_00102_001".Settings,
          Statistic:="HVAC_R00102"."CAV_00102_001".Statistics);
</t>
  </si>
  <si>
    <t xml:space="preserve">#CAV_00103_001(comError:="ModbusStations".CAV_00103_001.Station.Status.ErrorComm,_x000D_
fbOpen:=CommDamperOpen(threshold:=#CAV_00103_001.openThreshold, Fbk:="ModbusStations".CAV_00103_001.Data.Fbk),_x000D_
fbClosed:=CommDamperClosed(threshold:=#CAV_00103_001.closedThreshold, Fbk:="ModbusStations".CAV_00103_001.Data.Fbk),_x000D_
feedback:="ModbusStations".CAV_00103_001.Data.Fbk.RelativeVolumetricFlow,_x000D_
reference:="ModbusStations".CAV_00103_001.Data.Cmd.Setpoint,_x000D_
reset:=#Unit.AHU.Command.General_reset,
           Process:=#Unit.CAV_00103_001,
          InOut:="HVAC_R00103"."CAV_00103_001".InOut,
          Parameters:="HVAC_R00103"."CAV_00103_001".Parameters,
          Settings:="HVAC_R00103"."CAV_00103_001".Settings,
          Statistic:="HVAC_R00103"."CAV_00103_001".Statistics);
</t>
  </si>
  <si>
    <t xml:space="preserve">#CAV_00104_001(comError:="ModbusStations".CAV_00104_001.Station.Status.ErrorComm,_x000D_
fbOpen:=CommDamperOpen(threshold:=#CAV_00104_001.openThreshold, Fbk:="ModbusStations".CAV_00104_001.Data.Fbk),_x000D_
fbClosed:=CommDamperClosed(threshold:=#CAV_00104_001.closedThreshold, Fbk:="ModbusStations".CAV_00104_001.Data.Fbk),_x000D_
feedback:="ModbusStations".CAV_00104_001.Data.Fbk.RelativeVolumetricFlow,_x000D_
reference:="ModbusStations".CAV_00104_001.Data.Cmd.Setpoint,_x000D_
reset:=#Unit.AHU.Command.General_reset,
           Process:=#Unit.CAV_00104_001,
          InOut:="HVAC_R00104"."CAV_00104_001".InOut,
          Parameters:="HVAC_R00104"."CAV_00104_001".Parameters,
          Settings:="HVAC_R00104"."CAV_00104_001".Settings,
          Statistic:="HVAC_R00104"."CAV_00104_001".Statistics);
</t>
  </si>
  <si>
    <t xml:space="preserve">#CAV_00105_001(comError:="ModbusStations".CAV_00105_001.Station.Status.ErrorComm,_x000D_
fbOpen:=CommDamperOpen(threshold:=#CAV_00105_001.openThreshold, Fbk:="ModbusStations".CAV_00105_001.Data.Fbk),_x000D_
fbClosed:=CommDamperClosed(threshold:=#CAV_00105_001.closedThreshold, Fbk:="ModbusStations".CAV_00105_001.Data.Fbk),_x000D_
feedback:="ModbusStations".CAV_00105_001.Data.Fbk.RelativeVolumetricFlow,_x000D_
reference:="ModbusStations".CAV_00105_001.Data.Cmd.Setpoint,_x000D_
reset:=#Unit.AHU.Command.General_reset,
           Process:=#Unit.CAV_00105_001,
          InOut:="HVAC_R00105"."CAV_00105_001".InOut,
          Parameters:="HVAC_R00105"."CAV_00105_001".Parameters,
          Settings:="HVAC_R00105"."CAV_00105_001".Settings,
          Statistic:="HVAC_R00105"."CAV_00105_001".Statistics);
</t>
  </si>
  <si>
    <t xml:space="preserve">#CAV_00106_001(comError:="ModbusStations".CAV_00106_001.Station.Status.ErrorComm,_x000D_
fbOpen:=CommDamperOpen(threshold:=#CAV_00106_001.openThreshold, Fbk:="ModbusStations".CAV_00106_001.Data.Fbk),_x000D_
fbClosed:=CommDamperClosed(threshold:=#CAV_00106_001.closedThreshold, Fbk:="ModbusStations".CAV_00106_001.Data.Fbk),_x000D_
feedback:="ModbusStations".CAV_00106_001.Data.Fbk.RelativeVolumetricFlow,_x000D_
reference:="ModbusStations".CAV_00106_001.Data.Cmd.Setpoint,_x000D_
reset:=#Unit.AHU.Command.General_reset,
           Process:=#Unit.CAV_00106_001,
          InOut:="HVAC_R00106"."CAV_00106_001".InOut,
          Parameters:="HVAC_R00106"."CAV_00106_001".Parameters,
          Settings:="HVAC_R00106"."CAV_00106_001".Settings,
          Statistic:="HVAC_R00106"."CAV_00106_001".Statistics);
</t>
  </si>
  <si>
    <t xml:space="preserve">#CAV_00107_001(comError:="ModbusStations".CAV_00107_001.Station.Status.ErrorComm,_x000D_
fbOpen:=CommDamperOpen(threshold:=#CAV_00107_001.openThreshold, Fbk:="ModbusStations".CAV_00107_001.Data.Fbk),_x000D_
fbClosed:=CommDamperClosed(threshold:=#CAV_00107_001.closedThreshold, Fbk:="ModbusStations".CAV_00107_001.Data.Fbk),_x000D_
feedback:="ModbusStations".CAV_00107_001.Data.Fbk.RelativeVolumetricFlow,_x000D_
reference:="ModbusStations".CAV_00107_001.Data.Cmd.Setpoint,_x000D_
reset:=#Unit.AHU.Command.General_reset,
           Process:=#Unit.CAV_00107_001,
          InOut:="HVAC_R00107"."CAV_00107_001".InOut,
          Parameters:="HVAC_R00107"."CAV_00107_001".Parameters,
          Settings:="HVAC_R00107"."CAV_00107_001".Settings,
          Statistic:="HVAC_R00107"."CAV_00107_001".Statistics);
</t>
  </si>
  <si>
    <t xml:space="preserve">#CAV_00108_001(comError:="ModbusStations".CAV_00108_001.Station.Status.ErrorComm,_x000D_
fbOpen:=CommDamperOpen(threshold:=#CAV_00108_001.openThreshold, Fbk:="ModbusStations".CAV_00108_001.Data.Fbk),_x000D_
fbClosed:=CommDamperClosed(threshold:=#CAV_00108_001.closedThreshold, Fbk:="ModbusStations".CAV_00108_001.Data.Fbk),_x000D_
feedback:="ModbusStations".CAV_00108_001.Data.Fbk.RelativeVolumetricFlow,_x000D_
reference:="ModbusStations".CAV_00108_001.Data.Cmd.Setpoint,_x000D_
reset:=#Unit.AHU.Command.General_reset,
           Process:=#Unit.CAV_00108_001,
          InOut:="HVAC_R00108"."CAV_00108_001".InOut,
          Parameters:="HVAC_R00108"."CAV_00108_001".Parameters,
          Settings:="HVAC_R00108"."CAV_00108_001".Settings,
          Statistic:="HVAC_R00108"."CAV_00108_001".Statistics);
</t>
  </si>
  <si>
    <t xml:space="preserve">#CAV_00109_001(comError:="ModbusStations".CAV_00109_001.Station.Status.ErrorComm,_x000D_
fbOpen:=CommDamperOpen(threshold:=#CAV_00109_001.openThreshold, Fbk:="ModbusStations".CAV_00109_001.Data.Fbk),_x000D_
fbClosed:=CommDamperClosed(threshold:=#CAV_00109_001.closedThreshold, Fbk:="ModbusStations".CAV_00109_001.Data.Fbk),_x000D_
feedback:="ModbusStations".CAV_00109_001.Data.Fbk.RelativeVolumetricFlow,_x000D_
reference:="ModbusStations".CAV_00109_001.Data.Cmd.Setpoint,_x000D_
reset:=#Unit.AHU.Command.General_reset,
           Process:=#Unit.CAV_00109_001,
          InOut:="HVAC_R00109"."CAV_00109_001".InOut,
          Parameters:="HVAC_R00109"."CAV_00109_001".Parameters,
          Settings:="HVAC_R00109"."CAV_00109_001".Settings,
          Statistic:="HVAC_R00109"."CAV_00109_001".Statistics);
</t>
  </si>
  <si>
    <t xml:space="preserve">#CAV_00110_001(comError:="ModbusStations".CAV_00110_001.Station.Status.ErrorComm,_x000D_
fbOpen:=CommDamperOpen(threshold:=#CAV_00110_001.openThreshold, Fbk:="ModbusStations".CAV_00110_001.Data.Fbk),_x000D_
fbClosed:=CommDamperClosed(threshold:=#CAV_00110_001.closedThreshold, Fbk:="ModbusStations".CAV_00110_001.Data.Fbk),_x000D_
feedback:="ModbusStations".CAV_00110_001.Data.Fbk.RelativeVolumetricFlow,_x000D_
reference:="ModbusStations".CAV_00110_001.Data.Cmd.Setpoint,_x000D_
reset:=#Unit.AHU.Command.General_reset,
           Process:=#Unit.CAV_00110_001,
          InOut:="HVAC_R00110"."CAV_00110_001".InOut,
          Parameters:="HVAC_R00110"."CAV_00110_001".Parameters,
          Settings:="HVAC_R00110"."CAV_00110_001".Settings,
          Statistic:="HVAC_R00110"."CAV_00110_001".Statistics);
</t>
  </si>
  <si>
    <t xml:space="preserve">#CAV_00111_001(comError:="ModbusStations".CAV_00111_001.Station.Status.ErrorComm,_x000D_
fbOpen:=CommDamperOpen(threshold:=#CAV_00111_001.openThreshold, Fbk:="ModbusStations".CAV_00111_001.Data.Fbk),_x000D_
fbClosed:=CommDamperClosed(threshold:=#CAV_00111_001.closedThreshold, Fbk:="ModbusStations".CAV_00111_001.Data.Fbk),_x000D_
feedback:="ModbusStations".CAV_00111_001.Data.Fbk.RelativeVolumetricFlow,_x000D_
reference:="ModbusStations".CAV_00111_001.Data.Cmd.Setpoint,_x000D_
reset:=#Unit.AHU.Command.General_reset,
           Process:=#Unit.CAV_00111_001,
          InOut:="HVAC_R00111"."CAV_00111_001".InOut,
          Parameters:="HVAC_R00111"."CAV_00111_001".Parameters,
          Settings:="HVAC_R00111"."CAV_00111_001".Settings,
          Statistic:="HVAC_R00111"."CAV_00111_001".Statistics);
</t>
  </si>
  <si>
    <t xml:space="preserve">#CAV_00113_001(comError:="ModbusStations".CAV_00113_001.Station.Status.ErrorComm,_x000D_
fbOpen:=CommDamperOpen(threshold:=#CAV_00113_001.openThreshold, Fbk:="ModbusStations".CAV_00113_001.Data.Fbk),_x000D_
fbClosed:=CommDamperClosed(threshold:=#CAV_00113_001.closedThreshold, Fbk:="ModbusStations".CAV_00113_001.Data.Fbk),_x000D_
feedback:="ModbusStations".CAV_00113_001.Data.Fbk.RelativeVolumetricFlow,_x000D_
reference:="ModbusStations".CAV_00113_001.Data.Cmd.Setpoint,_x000D_
reset:=#Unit.AHU.Command.General_reset,
           Process:=#Unit.CAV_00113_001,
          InOut:="HVAC_R00113"."CAV_00113_001".InOut,
          Parameters:="HVAC_R00113"."CAV_00113_001".Parameters,
          Settings:="HVAC_R00113"."CAV_00113_001".Settings,
          Statistic:="HVAC_R00113"."CAV_00113_001".Statistics);
</t>
  </si>
  <si>
    <t xml:space="preserve">#CAV_00114_001(comError:="ModbusStations".CAV_00114_001.Station.Status.ErrorComm,_x000D_
fbOpen:=CommDamperOpen(threshold:=#CAV_00114_001.openThreshold, Fbk:="ModbusStations".CAV_00114_001.Data.Fbk),_x000D_
fbClosed:=CommDamperClosed(threshold:=#CAV_00114_001.closedThreshold, Fbk:="ModbusStations".CAV_00114_001.Data.Fbk),_x000D_
feedback:="ModbusStations".CAV_00114_001.Data.Fbk.RelativeVolumetricFlow,_x000D_
reference:="ModbusStations".CAV_00114_001.Data.Cmd.Setpoint,_x000D_
reset:=#Unit.AHU.Command.General_reset,
           Process:=#Unit.CAV_00114_001,
          InOut:="HVAC_R00114"."CAV_00114_001".InOut,
          Parameters:="HVAC_R00114"."CAV_00114_001".Parameters,
          Settings:="HVAC_R00114"."CAV_00114_001".Settings,
          Statistic:="HVAC_R00114"."CAV_00114_001".Statistics);
</t>
  </si>
  <si>
    <t xml:space="preserve">#CAV_00115_001(comError:="ModbusStations".CAV_00115_001.Station.Status.ErrorComm,_x000D_
fbOpen:=CommDamperOpen(threshold:=#CAV_00115_001.openThreshold, Fbk:="ModbusStations".CAV_00115_001.Data.Fbk),_x000D_
fbClosed:=CommDamperClosed(threshold:=#CAV_00115_001.closedThreshold, Fbk:="ModbusStations".CAV_00115_001.Data.Fbk),_x000D_
feedback:="ModbusStations".CAV_00115_001.Data.Fbk.RelativeVolumetricFlow,_x000D_
reference:="ModbusStations".CAV_00115_001.Data.Cmd.Setpoint,_x000D_
reset:=#Unit.AHU.Command.General_reset,
           Process:=#Unit.CAV_00115_001,
          InOut:="HVAC_R00115"."CAV_00115_001".InOut,
          Parameters:="HVAC_R00115"."CAV_00115_001".Parameters,
          Settings:="HVAC_R00115"."CAV_00115_001".Settings,
          Statistic:="HVAC_R00115"."CAV_00115_001".Statistics);
</t>
  </si>
  <si>
    <t xml:space="preserve">#CAV_00116_001(comError:="ModbusStations".CAV_00116_001.Station.Status.ErrorComm,_x000D_
fbOpen:=CommDamperOpen(threshold:=#CAV_00116_001.openThreshold, Fbk:="ModbusStations".CAV_00116_001.Data.Fbk),_x000D_
fbClosed:=CommDamperClosed(threshold:=#CAV_00116_001.closedThreshold, Fbk:="ModbusStations".CAV_00116_001.Data.Fbk),_x000D_
feedback:="ModbusStations".CAV_00116_001.Data.Fbk.RelativeVolumetricFlow,_x000D_
reference:="ModbusStations".CAV_00116_001.Data.Cmd.Setpoint,_x000D_
reset:=#Unit.AHU.Command.General_reset,
           Process:=#Unit.CAV_00116_001,
          InOut:="HVAC_R00116"."CAV_00116_001".InOut,
          Parameters:="HVAC_R00116"."CAV_00116_001".Parameters,
          Settings:="HVAC_R00116"."CAV_00116_001".Settings,
          Statistic:="HVAC_R00116"."CAV_00116_001".Statistics);
</t>
  </si>
  <si>
    <t xml:space="preserve">#VAV_00101_001(feedbackRaw:="VAV-00101-001_FB",_x000D_
referenceRaw:="VAV-00101-001_SP",_x000D_
reset:=#Unit.AHU.Command.General_reset,
           Process:=#Unit.VAV_00101_001,
          InOut:="HVAC_R00101"."VAV_00101_001".InOut,
          Parameters:="HVAC_R00101"."VAV_00101_001".Parameters,
          Settings:="HVAC_R00101"."VAV_00101_001".Settings,
          Statistic:="HVAC_R00101"."VAV_00101_001".Statistics);
</t>
  </si>
  <si>
    <t xml:space="preserve">#VAV_00102_001(feedbackRaw:="VAV-00102-001_FB",_x000D_
referenceRaw:="VAV-00102-001_SP",_x000D_
reset:=#Unit.AHU.Command.General_reset,
           Process:=#Unit.VAV_00102_001,
          InOut:="HVAC_R00102"."VAV_00102_001".InOut,
          Parameters:="HVAC_R00102"."VAV_00102_001".Parameters,
          Settings:="HVAC_R00102"."VAV_00102_001".Settings,
          Statistic:="HVAC_R00102"."VAV_00102_001".Statistics);
</t>
  </si>
  <si>
    <t xml:space="preserve">#VAV_00103_001(feedbackRaw:="VAV-00103-001_FB",_x000D_
referenceRaw:="VAV-00103-001_SP",_x000D_
reset:=#Unit.AHU.Command.General_reset,
           Process:=#Unit.VAV_00103_001,
          InOut:="HVAC_R00103"."VAV_00103_001".InOut,
          Parameters:="HVAC_R00103"."VAV_00103_001".Parameters,
          Settings:="HVAC_R00103"."VAV_00103_001".Settings,
          Statistic:="HVAC_R00103"."VAV_00103_001".Statistics);
</t>
  </si>
  <si>
    <t xml:space="preserve">#VAV_00104_001(feedbackRaw:="VAV-00104-001_FB",_x000D_
referenceRaw:="VAV-00104-001_SP",_x000D_
reset:=#Unit.AHU.Command.General_reset,
           Process:=#Unit.VAV_00104_001,
          InOut:="HVAC_R00104"."VAV_00104_001".InOut,
          Parameters:="HVAC_R00104"."VAV_00104_001".Parameters,
          Settings:="HVAC_R00104"."VAV_00104_001".Settings,
          Statistic:="HVAC_R00104"."VAV_00104_001".Statistics);
</t>
  </si>
  <si>
    <t xml:space="preserve">#VAV_00105_001(feedbackRaw:="VAV-00105-001_FB",_x000D_
referenceRaw:="VAV-00105-001_SP",_x000D_
reset:=#Unit.AHU.Command.General_reset,
           Process:=#Unit.VAV_00105_001,
          InOut:="HVAC_R00105"."VAV_00105_001".InOut,
          Parameters:="HVAC_R00105"."VAV_00105_001".Parameters,
          Settings:="HVAC_R00105"."VAV_00105_001".Settings,
          Statistic:="HVAC_R00105"."VAV_00105_001".Statistics);
</t>
  </si>
  <si>
    <t xml:space="preserve">#VAV_00106_001(feedbackRaw:="VAV-00106-001_FB",_x000D_
referenceRaw:="VAV-00106-001_SP",_x000D_
reset:=#Unit.AHU.Command.General_reset,
           Process:=#Unit.VAV_00106_001,
          InOut:="HVAC_R00106"."VAV_00106_001".InOut,
          Parameters:="HVAC_R00106"."VAV_00106_001".Parameters,
          Settings:="HVAC_R00106"."VAV_00106_001".Settings,
          Statistic:="HVAC_R00106"."VAV_00106_001".Statistics);
</t>
  </si>
  <si>
    <t xml:space="preserve">#VAV_00107_001(feedbackRaw:="VAV-00107-001_FB",_x000D_
referenceRaw:="VAV-00107-001_SP",_x000D_
reset:=#Unit.AHU.Command.General_reset,
           Process:=#Unit.VAV_00107_001,
          InOut:="HVAC_R00107"."VAV_00107_001".InOut,
          Parameters:="HVAC_R00107"."VAV_00107_001".Parameters,
          Settings:="HVAC_R00107"."VAV_00107_001".Settings,
          Statistic:="HVAC_R00107"."VAV_00107_001".Statistics);
</t>
  </si>
  <si>
    <t xml:space="preserve">#VAV_00108_001(feedbackRaw:="VAV-00108-001_FB",_x000D_
referenceRaw:="VAV-00108-001_SP",_x000D_
reset:=#Unit.AHU.Command.General_reset,
           Process:=#Unit.VAV_00108_001,
          InOut:="HVAC_R00108"."VAV_00108_001".InOut,
          Parameters:="HVAC_R00108"."VAV_00108_001".Parameters,
          Settings:="HVAC_R00108"."VAV_00108_001".Settings,
          Statistic:="HVAC_R00108"."VAV_00108_001".Statistics);
</t>
  </si>
  <si>
    <t xml:space="preserve">#VAV_00109_001(feedbackRaw:="VAV-00109-001_FB",_x000D_
referenceRaw:="VAV-00109-001_SP",_x000D_
reset:=#Unit.AHU.Command.General_reset,
           Process:=#Unit.VAV_00109_001,
          InOut:="HVAC_R00109"."VAV_00109_001".InOut,
          Parameters:="HVAC_R00109"."VAV_00109_001".Parameters,
          Settings:="HVAC_R00109"."VAV_00109_001".Settings,
          Statistic:="HVAC_R00109"."VAV_00109_001".Statistics);
</t>
  </si>
  <si>
    <t xml:space="preserve">#VAV_00110_001(feedbackRaw:="VAV-00110-001_FB",_x000D_
referenceRaw:="VAV-00110-001_SP",_x000D_
reset:=#Unit.AHU.Command.General_reset,
           Process:=#Unit.VAV_00110_001,
          InOut:="HVAC_R00110"."VAV_00110_001".InOut,
          Parameters:="HVAC_R00110"."VAV_00110_001".Parameters,
          Settings:="HVAC_R00110"."VAV_00110_001".Settings,
          Statistic:="HVAC_R00110"."VAV_00110_001".Statistics);
</t>
  </si>
  <si>
    <t xml:space="preserve">#VAV_00111_001(feedbackRaw:="VAV-00111-001_FB",_x000D_
referenceRaw:="VAV-00111-001_SP",_x000D_
reset:=#Unit.AHU.Command.General_reset,
           Process:=#Unit.VAV_00111_001,
          InOut:="HVAC_R00111"."VAV_00111_001".InOut,
          Parameters:="HVAC_R00111"."VAV_00111_001".Parameters,
          Settings:="HVAC_R00111"."VAV_00111_001".Settings,
          Statistic:="HVAC_R00111"."VAV_00111_001".Statistics);
</t>
  </si>
  <si>
    <t xml:space="preserve">#VAV_00113_001(feedbackRaw:="VAV-00113-001_FB",_x000D_
referenceRaw:="VAV-00113-001_SP",_x000D_
reset:=#Unit.AHU.Command.General_reset,
           Process:=#Unit.VAV_00113_001,
          InOut:="HVAC_R00113"."VAV_00113_001".InOut,
          Parameters:="HVAC_R00113"."VAV_00113_001".Parameters,
          Settings:="HVAC_R00113"."VAV_00113_001".Settings,
          Statistic:="HVAC_R00113"."VAV_00113_001".Statistics);
</t>
  </si>
  <si>
    <t xml:space="preserve">#VAV_00114_001(feedbackRaw:="VAV-00114-001_FB",_x000D_
referenceRaw:="VAV-00114-001_SP",_x000D_
reset:=#Unit.AHU.Command.General_reset,
           Process:=#Unit.VAV_00114_001,
          InOut:="HVAC_R00114"."VAV_00114_001".InOut,
          Parameters:="HVAC_R00114"."VAV_00114_001".Parameters,
          Settings:="HVAC_R00114"."VAV_00114_001".Settings,
          Statistic:="HVAC_R00114"."VAV_00114_001".Statistics);
</t>
  </si>
  <si>
    <t xml:space="preserve">#VAV_00115_001(feedbackRaw:="VAV-00115-001_FB",_x000D_
referenceRaw:="VAV-00115-001_SP",_x000D_
reset:=#Unit.AHU.Command.General_reset,
           Process:=#Unit.VAV_00115_001,
          InOut:="HVAC_R00115"."VAV_00115_001".InOut,
          Parameters:="HVAC_R00115"."VAV_00115_001".Parameters,
          Settings:="HVAC_R00115"."VAV_00115_001".Settings,
          Statistic:="HVAC_R00115"."VAV_00115_001".Statistics);
</t>
  </si>
  <si>
    <t xml:space="preserve">#VAV_00116_001(feedbackRaw:="VAV-00116-001_FB",_x000D_
referenceRaw:="VAV-00116-001_SP",_x000D_
reset:=#Unit.AHU.Command.General_reset,
           Process:=#Unit.VAV_00116_001,
          InOut:="HVAC_R00116"."VAV_00116_001".InOut,
          Parameters:="HVAC_R00116"."VAV_00116_001".Parameters,
          Settings:="HVAC_R00116"."VAV_00116_001".Settings,
          Statistic:="HVAC_R00116"."VAV_00116_001".Statistics);
</t>
  </si>
  <si>
    <t xml:space="preserve">#CEM_SU01_001(feedbackRaw:="CEM-SU01-001_FB",_x000D_
referenceRaw:="CEM-SU01-001_SP",_x000D_
reset:=#Unit.AHU.Command.General_reset,
           Process:=#Unit.CEM_SU01_001,
          InOut:="HVAC_SU01"."CEM_SU01_001".InOut,
          Parameters:="HVAC_SU01"."CEM_SU01_001".Parameters,
          Settings:="HVAC_SU01"."CEM_SU01_001".Settings,
          Statistic:="HVAC_SU01"."CEM_SU01_001".Statistics);
</t>
  </si>
  <si>
    <t xml:space="preserve">#CEM_SU01B_002(feedbackRaw:="CEM-SU01B-002_FB",_x000D_
referenceRaw:="CEM-SU01B-002_SP",_x000D_
reset:=#Unit.AHU.Command.General_reset,
           Process:=#Unit.CEM_SU01B_002,
          InOut:="HVAC_SU01B"."CEM_SU01B_002".InOut,
          Parameters:="HVAC_SU01B"."CEM_SU01B_002".Parameters,
          Settings:="HVAC_SU01B"."CEM_SU01B_002".Settings,
          Statistic:="HVAC_SU01B"."CEM_SU01B_002".Statistics);
</t>
  </si>
  <si>
    <t xml:space="preserve">#PICV_CLW_009(referenceRaw:="PICV-CLW-009_SP",_x000D_
reset:=#Unit.AHU.Command.General_reset,
           Process:=#Unit.PICV_CLW_009,
          InOut:="HVAC_SU01"."PICV_CLW_009".InOut,
          Parameters:="HVAC_SU01"."PICV_CLW_009".Parameters,
          Settings:="HVAC_SU01"."PICV_CLW_009".Settings,
          Statistic:="HVAC_SU01"."PICV_CLW_009".Statistics);
</t>
  </si>
  <si>
    <t xml:space="preserve">#PICV_HW_001(referenceRaw:="PICV-HW-001_SP",_x000D_
reset:=#Unit.AHU.Command.General_reset,
           Process:=#Unit.PICV_HW_001,
          InOut:="HVAC_SU01"."PICV_HW_001".InOut,
          Parameters:="HVAC_SU01"."PICV_HW_001".Parameters,
          Settings:="HVAC_SU01"."PICV_HW_001".Settings,
          Statistic:="HVAC_SU01"."PICV_HW_001".Statistics);
</t>
  </si>
  <si>
    <t xml:space="preserve">#PICV_CLW_006(referenceRaw:="PICV-CLW-006_SP",_x000D_
reset:=#Unit.AHU.Command.General_reset,
           Process:=#Unit.PICV_CLW_006,
          InOut:="HVAC_SU01B"."PICV_CLW_006".InOut,
          Parameters:="HVAC_SU01B"."PICV_CLW_006".Parameters,
          Settings:="HVAC_SU01B"."PICV_CLW_006".Settings,
          Statistic:="HVAC_SU01B"."PICV_CLW_006".Statistics);
</t>
  </si>
  <si>
    <t xml:space="preserve">#PICV_CLW_001(referenceRaw:="PICV-CLW-001_SP",_x000D_
reset:=#Unit.AHU.Command.General_reset,
           Process:=#Unit.PICV_CLW_001,
          InOut:="HVAC_R00103"."PICV_CLW_001".InOut,
          Parameters:="HVAC_R00103"."PICV_CLW_001".Parameters,
          Settings:="HVAC_R00103"."PICV_CLW_001".Settings,
          Statistic:="HVAC_R00103"."PICV_CLW_001".Statistics);
</t>
  </si>
  <si>
    <t xml:space="preserve">#PICV_CLW_002(referenceRaw:="PICV-CLW-002_SP",_x000D_
reset:=#Unit.AHU.Command.General_reset,
           Process:=#Unit.PICV_CLW_002,
          InOut:="HVAC_R00104"."PICV_CLW_002".InOut,
          Parameters:="HVAC_R00104"."PICV_CLW_002".Parameters,
          Settings:="HVAC_R00104"."PICV_CLW_002".Settings,
          Statistic:="HVAC_R00104"."PICV_CLW_002".Statistics);
</t>
  </si>
  <si>
    <t xml:space="preserve">#PICV_CLW_003(referenceRaw:="PICV-CLW-003_SP",_x000D_
reset:=#Unit.AHU.Command.General_reset,
           Process:=#Unit.PICV_CLW_003,
          InOut:="HVAC_R00106"."PICV_CLW_003".InOut,
          Parameters:="HVAC_R00106"."PICV_CLW_003".Parameters,
          Settings:="HVAC_R00106"."PICV_CLW_003".Settings,
          Statistic:="HVAC_R00106"."PICV_CLW_003".Statistics);
</t>
  </si>
  <si>
    <t xml:space="preserve">#PICV_CLW_004(referenceRaw:="PICV-CLW-004 _SP",_x000D_
reset:=#Unit.AHU.Command.General_reset,
           Process:=#Unit.PICV_CLW_004,
          InOut:="HVAC_R00107"."PICV_CLW_004".InOut,
          Parameters:="HVAC_R00107"."PICV_CLW_004".Parameters,
          Settings:="HVAC_R00107"."PICV_CLW_004".Settings,
          Statistic:="HVAC_R00107"."PICV_CLW_004".Statistics);
</t>
  </si>
  <si>
    <t xml:space="preserve">#PICV_CLW_007(referenceRaw:="PICV-CLW-007_SP",_x000D_
reset:=#Unit.AHU.Command.General_reset,
           Process:=#Unit.PICV_CLW_007,
          InOut:="HVAC_R00108"."PICV_CLW_007".InOut,
          Parameters:="HVAC_R00108"."PICV_CLW_007".Parameters,
          Settings:="HVAC_R00108"."PICV_CLW_007".Settings,
          Statistic:="HVAC_R00108"."PICV_CLW_007".Statistics);
</t>
  </si>
  <si>
    <t xml:space="preserve">#PICV_CLW_008(referenceRaw:="PICV-CLW-008_SP",_x000D_
reset:=#Unit.AHU.Command.General_reset,
           Process:=#Unit.PICV_CLW_008,
          InOut:="HVAC_R00109"."PICV_CLW_008".InOut,
          Parameters:="HVAC_R00109"."PICV_CLW_008".Parameters,
          Settings:="HVAC_R00109"."PICV_CLW_008".Settings,
          Statistic:="HVAC_R00109"."PICV_CLW_008".Statistics);
</t>
  </si>
  <si>
    <t xml:space="preserve">#PICV_CLW_010(referenceRaw:="PICV-CLW-010_SP",_x000D_
reset:=#Unit.AHU.Command.General_reset,
           Process:=#Unit.PICV_CLW_010,
          InOut:="HVAC_R00110"."PICV_CLW_010".InOut,
          Parameters:="HVAC_R00110"."PICV_CLW_010".Parameters,
          Settings:="HVAC_R00110"."PICV_CLW_010".Settings,
          Statistic:="HVAC_R00110"."PICV_CLW_010".Statistics);
</t>
  </si>
  <si>
    <t xml:space="preserve">#PICV_CLW_005(referenceRaw:="PICV-CLW-005_SP",_x000D_
reset:=#Unit.AHU.Command.General_reset,
           Process:=#Unit.PICV_CLW_005,
          InOut:="HVAC_R00111"."PICV_CLW_005".InOut,
          Parameters:="HVAC_R00111"."PICV_CLW_005".Parameters,
          Settings:="HVAC_R00111"."PICV_CLW_005".Settings,
          Statistic:="HVAC_R00111"."PICV_CLW_005".Statistics);
</t>
  </si>
  <si>
    <t xml:space="preserve">#PICV_CLW_011(referenceRaw:="PICV-CLW-011_SP",_x000D_
reset:=#Unit.AHU.Command.General_reset,
           Process:=#Unit.PICV_CLW_011,
          InOut:="HVAC_R00115"."PICV_CLW_011".InOut,
          Parameters:="HVAC_R00115"."PICV_CLW_011".Parameters,
          Settings:="HVAC_R00115"."PICV_CLW_011".Settings,
          Statistic:="HVAC_R00115"."PICV_CLW_011".Statistics);
</t>
  </si>
  <si>
    <t xml:space="preserve">#VFD_SF1_SU01_001(supply:="VFD-SF1-SU01-001_SUPPLY",_x000D_
serviceSwitch:="VFD-SF1-SU01-001_SERVICE",_x000D_
thermicFeedback:="ModbusStations".VFD_SF1_SU01_001.Data.Error."Temperature error",_x000D_
commError:="ModbusStations".VFD_SF1_SU01_001.Station.Status.ErrorComm,_x000D_
fbRunning:=NOT "ModbusStations".VFD_SF1_SU01_001.Data.Status.Stop,_x000D_
driveError:="StatnECBLUE_ErrorSignal"("ModbusStations"."VFD_SF1_SU01_001".Data.Error),_x000D_
feedback:="ModbusStations".VFD_SF1_SU01_001.Data.Speed,_x000D_
startCommand:="ModbusStations".VFD_SF1_SU01_001.Data.ControlWord.Enable,_x000D_
setpoint:="ModbusStations".VFD_SF1_SU01_001.Data.Reference,_x000D_
emergencyStop:=#Unit.AHU.Command.Emergency_stop,
          reset:=#Unit.AHU.Command.General_reset,
          Process:=#Unit.VFD_SF1_SU01_001,
          InOut:="HVAC_SU01"."VFD_SF1_SU01_001".InOut,
          Parameters:="HVAC_SU01"."VFD_SF1_SU01_001".Parameters,
          Settings:="HVAC_SU01"."VFD_SF1_SU01_001".Settings,
          Statistic:="HVAC_SU01"."VFD_SF1_SU01_001".Statistics);
</t>
  </si>
  <si>
    <t xml:space="preserve">#VFD_SF2_SU01_001(supply:="VFD-SF2-SU01-001_SUPPLY",_x000D_
serviceSwitch:="VFD-SF2-SU01-001_SERVICE",_x000D_
thermicFeedback:="ModbusStations".VFD_SF2_SU01_001.Data.Error."Temperature error",_x000D_
commError:="ModbusStations".VFD_SF2_SU01_001.Station.Status.ErrorComm,_x000D_
fbRunning:=NOT "ModbusStations".VFD_SF2_SU01_001.Data.Status.Stop,_x000D_
driveError:="StatnECBLUE_ErrorSignal"("ModbusStations"."VFD_SF2_SU01_001".Data.Error),_x000D_
feedback:="ModbusStations".VFD_SF2_SU01_001.Data.Speed,_x000D_
startCommand:="ModbusStations".VFD_SF2_SU01_001.Data.ControlWord.Enable,_x000D_
setpoint:="ModbusStations".VFD_SF2_SU01_001.Data.Reference,_x000D_
emergencyStop:=#Unit.AHU.Command.Emergency_stop,
          reset:=#Unit.AHU.Command.General_reset,
          Process:=#Unit.VFD_SF2_SU01_001,
          InOut:="HVAC_SU01"."VFD_SF2_SU01_001".InOut,
          Parameters:="HVAC_SU01"."VFD_SF2_SU01_001".Parameters,
          Settings:="HVAC_SU01"."VFD_SF2_SU01_001".Settings,
          Statistic:="HVAC_SU01"."VFD_SF2_SU01_001".Statistics);
</t>
  </si>
  <si>
    <t xml:space="preserve">#VFD_EF1_SU01_001(supply:="VFD-EF1-SU01-001_SUPPLY",_x000D_
serviceSwitch:="VFD-EF1-SU01-001_SERVICE",_x000D_
thermicFeedback:="ModbusStations".VFD_EF1_SU01_001.Data.Error."Temperature error",_x000D_
commError:="ModbusStations".VFD_EF1_SU01_001.Station.Status.ErrorComm,_x000D_
fbRunning:=NOT "ModbusStations".VFD_EF1_SU01_001.Data.Status.Stop,_x000D_
driveError:="StatnECBLUE_ErrorSignal"("ModbusStations"."VFD_EF1_SU01_001".Data.Error),_x000D_
feedback:="ModbusStations".VFD_EF1_SU01_001.Data.Speed,_x000D_
startCommand:="ModbusStations".VFD_EF1_SU01_001.Data.ControlWord.Enable,_x000D_
setpoint:="ModbusStations".VFD_EF1_SU01_001.Data.Reference,_x000D_
emergencyStop:=#Unit.AHU.Command.Emergency_stop,
          reset:=#Unit.AHU.Command.General_reset,
          Process:=#Unit.VFD_EF1_SU01_001,
          InOut:="HVAC_SU01"."VFD_EF1_SU01_001".InOut,
          Parameters:="HVAC_SU01"."VFD_EF1_SU01_001".Parameters,
          Settings:="HVAC_SU01"."VFD_EF1_SU01_001".Settings,
          Statistic:="HVAC_SU01"."VFD_EF1_SU01_001".Statistics);
</t>
  </si>
  <si>
    <t xml:space="preserve">#VFD_EF2_SU01_001(supply:="VFD-EF2-SU01-001_SUPPLY",_x000D_
serviceSwitch:="VFD-EF2-SU01-001_SERVICE",_x000D_
thermicFeedback:="ModbusStations".VFD_EF2_SU01_001.Data.Error."Temperature error",_x000D_
commError:="ModbusStations".VFD_EF2_SU01_001.Station.Status.ErrorComm,_x000D_
fbRunning:=NOT "ModbusStations".VFD_EF2_SU01_001.Data.Status.Stop,_x000D_
driveError:="StatnECBLUE_ErrorSignal"("ModbusStations"."VFD_EF2_SU01_001".Data.Error),_x000D_
feedback:="ModbusStations".VFD_EF2_SU01_001.Data.Speed,_x000D_
startCommand:="ModbusStations".VFD_EF2_SU01_001.Data.ControlWord.Enable,_x000D_
setpoint:="ModbusStations".VFD_EF2_SU01_001.Data.Reference,_x000D_
emergencyStop:=#Unit.AHU.Command.Emergency_stop,
          reset:=#Unit.AHU.Command.General_reset,
          Process:=#Unit.VFD_EF2_SU01_001,
          InOut:="HVAC_SU01"."VFD_EF2_SU01_001".InOut,
          Parameters:="HVAC_SU01"."VFD_EF2_SU01_001".Parameters,
          Settings:="HVAC_SU01"."VFD_EF2_SU01_001".Settings,
          Statistic:="HVAC_SU01"."VFD_EF2_SU01_001".Statistics);
</t>
  </si>
  <si>
    <t xml:space="preserve">#VFD_SF1_SU01B_001(supply:="VFD-SF1-SU01B-001_SUPPLY",_x000D_
serviceSwitch:="VFD-SF1-SU01B-001_SERVICE",_x000D_
thermicFeedback:="ModbusStations".VFD_SF1_SU01B_001.Data.Error."Temperature error",_x000D_
commError:="ModbusStations".VFD_SF1_SU01B_001.Station.Status.ErrorComm,_x000D_
fbRunning:=NOT "ModbusStations".VFD_SF1_SU01B_001.Data.Status.Stop,_x000D_
driveError:="StatnECBLUE_ErrorSignal"("ModbusStations"."VFD_SF1_SU01B_001".Data.Error),_x000D_
feedback:="ModbusStations".VFD_SF1_SU01B_001.Data.Speed,_x000D_
startCommand:="ModbusStations".VFD_SF1_SU01B_001.Data.ControlWord.Enable,_x000D_
setpoint:="ModbusStations".VFD_SF1_SU01B_001.Data.Reference,_x000D_
emergencyStop:=#Unit.AHU.Command.Emergency_stop,
          reset:=#Unit.AHU.Command.General_reset,
          Process:=#Unit.VFD_SF1_SU01B_001,
          InOut:="HVAC_SU01B"."VFD_SF1_SU01B_001".InOut,
          Parameters:="HVAC_SU01B"."VFD_SF1_SU01B_001".Parameters,
          Settings:="HVAC_SU01B"."VFD_SF1_SU01B_001".Settings,
          Statistic:="HVAC_SU01B"."VFD_SF1_SU01B_001".Statistics);
</t>
  </si>
  <si>
    <t xml:space="preserve">#VFD_EF1_SU01B_001(supply:="VFD-EF1-SU01B-001_SUPPLY",_x000D_
serviceSwitch:="VFD-EF1-SU01B-001_SERVICE",_x000D_
thermicFeedback:="ModbusStations".VFD_EF1_SU01B_001.Data.Error."Temperature error",_x000D_
commError:="ModbusStations".VFD_EF1_SU01B_001.Station.Status.ErrorComm,_x000D_
fbRunning:=NOT "ModbusStations".VFD_EF1_SU01B_001.Data.Status.Stop,_x000D_
driveError:="StatnECBLUE_ErrorSignal"("ModbusStations"."VFD_EF1_SU01B_001".Data.Error),_x000D_
feedback:="ModbusStations".VFD_EF1_SU01B_001.Data.Speed,_x000D_
startCommand:="ModbusStations".VFD_EF1_SU01B_001.Data.ControlWord.Enable,_x000D_
setpoint:="ModbusStations".VFD_EF1_SU01B_001.Data.Reference,_x000D_
emergencyStop:=#Unit.AHU.Command.Emergency_stop,
          reset:=#Unit.AHU.Command.General_reset,
          Process:=#Unit.VFD_EF1_SU01B_001,
          InOut:="HVAC_SU01B"."VFD_EF1_SU01B_001".InOut,
          Parameters:="HVAC_SU01B"."VFD_EF1_SU01B_001".Parameters,
          Settings:="HVAC_SU01B"."VFD_EF1_SU01B_001".Settings,
          Statistic:="HVAC_SU01B"."VFD_EF1_SU01B_001".Statistics);
</t>
  </si>
  <si>
    <t xml:space="preserve">#VFD_FU_00103(supply:="VFD-FU-00103_SUPPLY",_x000D_
serviceSwitch:="VFD-FU-00103_SERVICE",_x000D_
thermicFeedback:="ModbusStations".VFD_FU_00103.Data.Error."Temperature error",_x000D_
commError:="ModbusStations".VFD_FU_00103.Station.Status.ErrorComm,_x000D_
fbRunning:=NOT "ModbusStations".VFD_FU_00103.Data.Status.Stop,_x000D_
driveError:="StatnECBLUE_ErrorSignal"("ModbusStations"."VFD_FU_00103".Data.Error),_x000D_
feedback:="ModbusStations".VFD_FU_00103.Data.Speed,_x000D_
startCommand:="ModbusStations".VFD_FU_00103.Data.ControlWord.Enable,_x000D_
setpoint:="ModbusStations".VFD_FU_00103.Data.Reference,_x000D_
emergencyStop:=#Unit.AHU.Command.Emergency_stop,
          reset:=#Unit.AHU.Command.General_reset,
          Process:=#Unit.VFD_FU_00103,
          InOut:="HVAC_R00103"."VFD_FU_00103".InOut,
          Parameters:="HVAC_R00103"."VFD_FU_00103".Parameters,
          Settings:="HVAC_R00103"."VFD_FU_00103".Settings,
          Statistic:="HVAC_R00103"."VFD_FU_00103".Statistics);
</t>
  </si>
  <si>
    <t xml:space="preserve">#VFD_FU_00104(supply:="VFD-FU-00104_SUPPLY",_x000D_
serviceSwitch:="VFD-FU-00104_SERVICE",_x000D_
thermicFeedback:="ModbusStations".VFD_FU_00104.Data.Error."Temperature error",_x000D_
commError:="ModbusStations".VFD_FU_00104.Station.Status.ErrorComm,_x000D_
fbRunning:=NOT "ModbusStations".VFD_FU_00104.Data.Status.Stop,_x000D_
driveError:="StatnECBLUE_ErrorSignal"("ModbusStations"."VFD_FU_00104".Data.Error),_x000D_
feedback:="ModbusStations".VFD_FU_00104.Data.Speed,_x000D_
startCommand:="ModbusStations".VFD_FU_00104.Data.ControlWord.Enable,_x000D_
setpoint:="ModbusStations".VFD_FU_00104.Data.Reference,_x000D_
emergencyStop:=#Unit.AHU.Command.Emergency_stop,
          reset:=#Unit.AHU.Command.General_reset,
          Process:=#Unit.VFD_FU_00104,
          InOut:="HVAC_R00104"."VFD_FU_00104".InOut,
          Parameters:="HVAC_R00104"."VFD_FU_00104".Parameters,
          Settings:="HVAC_R00104"."VFD_FU_00104".Settings,
          Statistic:="HVAC_R00104"."VFD_FU_00104".Statistics);
</t>
  </si>
  <si>
    <t xml:space="preserve">#VFD_FU_00115(supply:="VFD-FU-00115_SUPPLY",_x000D_
serviceSwitch:="VFD-FU-00115_SERVICE",_x000D_
thermicFeedback:="ModbusStations".VFD_FU_00115.Data.Error."Temperature error",_x000D_
commError:="ModbusStations".VFD_FU_00115.Station.Status.ErrorComm,_x000D_
fbRunning:=NOT "ModbusStations".VFD_FU_00115.Data.Status.Stop,_x000D_
driveError:="StatnECBLUE_ErrorSignal"("ModbusStations"."VFD_FU_00115".Data.Error),_x000D_
feedback:="ModbusStations".VFD_FU_00115.Data.Speed,_x000D_
startCommand:="ModbusStations".VFD_FU_00115.Data.ControlWord.Enable,_x000D_
setpoint:="ModbusStations".VFD_FU_00115.Data.Reference,_x000D_
emergencyStop:=#Unit.AHU.Command.Emergency_stop,
          reset:=#Unit.AHU.Command.General_reset,
          Process:=#Unit.VFD_FU_00115,
          InOut:="HVAC_R00115"."VFD_FU_00115".InOut,
          Parameters:="HVAC_R00115"."VFD_FU_00115".Parameters,
          Settings:="HVAC_R00115"."VFD_FU_00115".Settings,
          Statistic:="HVAC_R00115"."VFD_FU_00115".Statistics);
</t>
  </si>
  <si>
    <t xml:space="preserve">#PDS_F1_SU01_001(value:="PDS-F1-SU01-001",_x000D_
reset:=#Unit.AHU.Command.General_reset,
           Process:=#Unit.PDS_F1_SU01_001,
                       InOut:="HVAC_SU01"."PDS_F1_SU01_001".InOut,
                       Parameters:="HVAC_SU01"."PDS_F1_SU01_001".Parameters,
                       Settings:="HVAC_SU01"."PDS_F1_SU01_001".Settings);
</t>
  </si>
  <si>
    <t xml:space="preserve">#PSH_SU01_001(value:="PSH-SU01-001",_x000D_
reset:=#Unit.AHU.Command.General_reset,
           Process:=#Unit.PSH_SU01_001,
                       InOut:="HVAC_SU01"."PSH_SU01_001".InOut,
                       Parameters:="HVAC_SU01"."PSH_SU01_001".Parameters,
                       Settings:="HVAC_SU01"."PSH_SU01_001".Settings);
</t>
  </si>
  <si>
    <t xml:space="preserve">#PDS_F1_SU01B_001(value:="PDS-F1-SU01B-001",_x000D_
reset:=#Unit.AHU.Command.General_reset,
           Process:=#Unit.PDS_F1_SU01B_001,
                       InOut:="HVAC_SU01B"."PDS_F1_SU01B_001".InOut,
                       Parameters:="HVAC_SU01B"."PDS_F1_SU01B_001".Parameters,
                       Settings:="HVAC_SU01B"."PDS_F1_SU01B_001".Settings);
</t>
  </si>
  <si>
    <t xml:space="preserve">#PSH_SU01B_001(value:="PSH-SU01B-001",_x000D_
reset:=#Unit.AHU.Command.General_reset,
           Process:=#Unit.PSH_SU01B_001,
                       InOut:="HVAC_SU01B"."PSH_SU01B_001".InOut,
                       Parameters:="HVAC_SU01B"."PSH_SU01B_001".Parameters,
                       Settings:="HVAC_SU01B"."PSH_SU01B_001".Settings);
</t>
  </si>
  <si>
    <t xml:space="preserve">#PSH_00116_001(value:="PSH-00116-001",_x000D_
reset:=#Unit.AHU.Command.General_reset,
           Process:=#Unit.PSH_00116_001,
                       InOut:="HVAC_R00116"."PSH_00116_001".InOut,
                       Parameters:="HVAC_R00116"."PSH_00116_001".Parameters,
                       Settings:="HVAC_R00116"."PSH_00116_001".Settings);
</t>
  </si>
  <si>
    <t xml:space="preserve">#PSL_00116_001(value:="PSL-00116-001",_x000D_
reset:=#Unit.AHU.Command.General_reset,
           Process:=#Unit.PSL_00116_001,
                       InOut:="HVAC_R00116"."PSL_00116_001".InOut,
                       Parameters:="HVAC_R00116"."PSL_00116_001".Parameters,
                       Settings:="HVAC_R00116"."PSL_00116_001".Settings);
</t>
  </si>
  <si>
    <t xml:space="preserve">#PSH_00112_001(value:="PSH-00112-001",_x000D_
reset:=#Unit.AHU.Command.General_reset,
           Process:=#Unit.PSH_00112_001,
                       InOut:="HVAC_R00112"."PSH_00112_001".InOut,
                       Parameters:="HVAC_R00112"."PSH_00112_001".Parameters,
                       Settings:="HVAC_R00112"."PSH_00112_001".Settings);
</t>
  </si>
  <si>
    <t xml:space="preserve">#PSL_00112_001(value:="PSL-00112-001",_x000D_
reset:=#Unit.AHU.Command.General_reset,
           Process:=#Unit.PSL_00112_001,
                       InOut:="HVAC_R00112"."PSL_00112_001".InOut,
                       Parameters:="HVAC_R00112"."PSL_00112_001".Parameters,
                       Settings:="HVAC_R00112"."PSL_00112_001".Settings);
</t>
  </si>
  <si>
    <t xml:space="preserve">#LS_SU01_001(value:="LS-SU01-001",_x000D_
reset:=#Unit.AHU.Command.General_reset,
           Process:=#Unit.LS_SU01_001,
                       InOut:="HVAC_SU01"."LS_SU01_001".InOut,
                       Parameters:="HVAC_SU01"."LS_SU01_001".Parameters,
                       Settings:="HVAC_SU01"."LS_SU01_001".Settings);
</t>
  </si>
  <si>
    <t xml:space="preserve">#LS_CC_00103(value:="LS-CC-00103",_x000D_
reset:=#Unit.AHU.Command.General_reset,
           Process:=#Unit.LS_CC_00103,
                       InOut:="HVAC_R00103"."LS_CC_00103".InOut,
                       Parameters:="HVAC_R00103"."LS_CC_00103".Parameters,
                       Settings:="HVAC_R00103"."LS_CC_00103".Settings);
</t>
  </si>
  <si>
    <t xml:space="preserve">#LS_CC_00104(value:="LS-CC-00104",_x000D_
reset:=#Unit.AHU.Command.General_reset,
           Process:=#Unit.LS_CC_00104,
                       InOut:="HVAC_R00104"."LS_CC_00104".InOut,
                       Parameters:="HVAC_R00104"."LS_CC_00104".Parameters,
                       Settings:="HVAC_R00104"."LS_CC_00104".Settings);
</t>
  </si>
  <si>
    <t xml:space="preserve">#LS_CC_00115(value:="LS-CC-00115",_x000D_
reset:=#Unit.AHU.Command.General_reset,
           Process:=#Unit.LS_CC_00115,
                       InOut:="HVAC_R00115"."LS_CC_00115".InOut,
                       Parameters:="HVAC_R00115"."LS_CC_00115".Parameters,
                       Settings:="HVAC_R00115"."LS_CC_00115".Settings);
</t>
  </si>
  <si>
    <t xml:space="preserve">#LS_CC_00106(value:="LS-CC-00106",_x000D_
reset:=#Unit.AHU.Command.General_reset,
           Process:=#Unit.LS_CC_00106,
                       InOut:="HVAC_R00106"."LS_CC_00106".InOut,
                       Parameters:="HVAC_R00106"."LS_CC_00106".Parameters,
                       Settings:="HVAC_R00106"."LS_CC_00106".Settings);
</t>
  </si>
  <si>
    <t xml:space="preserve">#LS_CC_00107(value:="LS-CC-00107",_x000D_
reset:=#Unit.AHU.Command.General_reset,
           Process:=#Unit.LS_CC_00107,
                       InOut:="HVAC_R00107"."LS_CC_00107".InOut,
                       Parameters:="HVAC_R00107"."LS_CC_00107".Parameters,
                       Settings:="HVAC_R00107"."LS_CC_00107".Settings);
</t>
  </si>
  <si>
    <t xml:space="preserve">#LS_CC_00108(value:="LS-CC-00108",_x000D_
reset:=#Unit.AHU.Command.General_reset,
           Process:=#Unit.LS_CC_00108,
                       InOut:="HVAC_R00108"."LS_CC_00108".InOut,
                       Parameters:="HVAC_R00108"."LS_CC_00108".Parameters,
                       Settings:="HVAC_R00108"."LS_CC_00108".Settings);
</t>
  </si>
  <si>
    <t xml:space="preserve">#LS_CC_00109(value:="LS-CC-00109",_x000D_
reset:=#Unit.AHU.Command.General_reset,
           Process:=#Unit.LS_CC_00109,
                       InOut:="HVAC_R00109"."LS_CC_00109".InOut,
                       Parameters:="HVAC_R00109"."LS_CC_00109".Parameters,
                       Settings:="HVAC_R00109"."LS_CC_00109".Settings);
</t>
  </si>
  <si>
    <t xml:space="preserve">#LS_CC_00110(value:="LS-CC-00110",_x000D_
reset:=#Unit.AHU.Command.General_reset,
           Process:=#Unit.LS_CC_00110,
                       InOut:="HVAC_R00110"."LS_CC_00110".InOut,
                       Parameters:="HVAC_R00110"."LS_CC_00110".Parameters,
                       Settings:="HVAC_R00110"."LS_CC_00110".Settings);
</t>
  </si>
  <si>
    <t xml:space="preserve">#LS_CC_00111(value:="LS-CC-00111",_x000D_
reset:=#Unit.AHU.Command.General_reset,
           Process:=#Unit.LS_CC_00111,
                       InOut:="HVAC_R00111"."LS_CC_00111".InOut,
                       Parameters:="HVAC_R00111"."LS_CC_00111".Parameters,
                       Settings:="HVAC_R00111"."LS_CC_00111".Settings);
</t>
  </si>
  <si>
    <t xml:space="preserve">#PWR_SU01(value:="SU01_PAR",_x000D_
reset:=#Unit.AHU.Command.General_reset,
           Process:=#Unit.PWR_SU01,
                       InOut:="HVAC_SU01"."PWR_SU01".InOut,
                       Parameters:="HVAC_SU01"."PWR_SU01".Parameters,
                       Settings:="HVAC_SU01"."PWR_SU01".Settings);
</t>
  </si>
  <si>
    <t xml:space="preserve">#MICRO_SU01(value:="SU01_PAR",_x000D_
reset:=#Unit.AHU.Command.General_reset,
           Process:=#Unit.MICRO_SU01,
                       InOut:="HVAC_SU01"."MICRO_SU01".InOut,
                       Parameters:="HVAC_SU01"."MICRO_SU01".Parameters,
                       Settings:="HVAC_SU01"."MICRO_SU01".Settings);
</t>
  </si>
  <si>
    <t xml:space="preserve">#ES_SU01(value:="SU01_ES",_x000D_
reset:=#Unit.AHU.Command.General_reset,
           Process:=#Unit.ES_SU01,
                       InOut:="HVAC_SU01"."ES_SU01".InOut,
                       Parameters:="HVAC_SU01"."ES_SU01".Parameters,
                       Settings:="HVAC_SU01"."ES_SU01".Settings);
</t>
  </si>
  <si>
    <t xml:space="preserve">#FC_SU01(value:="SU01_FC_AL",_x000D_
reset:=#Unit.AHU.Command.General_reset,
           Process:=#Unit.FC_SU01,
                       InOut:="HVAC_SU01"."FC_SU01".InOut,
                       Parameters:="HVAC_SU01"."FC_SU01".Parameters,
                       Settings:="HVAC_SU01"."FC_SU01".Settings);
</t>
  </si>
  <si>
    <t xml:space="preserve">#PS24VAC_SU01(value:="SU01_24VAC",_x000D_
reset:=#Unit.AHU.Command.General_reset,
           Process:=#Unit.PS24VAC_SU01,
                       InOut:="HVAC_SU01"."PS24VAC_SU01".InOut,
                       Parameters:="HVAC_SU01"."PS24VAC_SU01".Parameters,
                       Settings:="HVAC_SU01"."PS24VAC_SU01".Settings);
</t>
  </si>
  <si>
    <t xml:space="preserve">#PS24VDC_SU01(value:="SU01_24VDC",_x000D_
reset:=#Unit.AHU.Command.General_reset,
           Process:=#Unit.PS24VDC_SU01,
                       InOut:="HVAC_SU01"."PS24VDC_SU01".InOut,
                       Parameters:="HVAC_SU01"."PS24VDC_SU01".Parameters,
                       Settings:="HVAC_SU01"."PS24VDC_SU01".Settings);
</t>
  </si>
  <si>
    <t xml:space="preserve">#PWR_SU01B(value:="SU01_PAR",_x000D_
reset:=#Unit.AHU.Command.General_reset,
           Process:=#Unit.PWR_SU01B,
                       InOut:="HVAC_SU01B"."PWR_SU01B".InOut,
                       Parameters:="HVAC_SU01B"."PWR_SU01B".Parameters,
                       Settings:="HVAC_SU01B"."PWR_SU01B".Settings);
</t>
  </si>
  <si>
    <t xml:space="preserve">#MICRO_SU01B(value:="SU01_PAR",_x000D_
reset:=#Unit.AHU.Command.General_reset,
           Process:=#Unit.MICRO_SU01B,
                       InOut:="HVAC_SU01B"."MICRO_SU01B".InOut,
                       Parameters:="HVAC_SU01B"."MICRO_SU01B".Parameters,
                       Settings:="HVAC_SU01B"."MICRO_SU01B".Settings);
</t>
  </si>
  <si>
    <t xml:space="preserve">#ES_SU01B(value:="SU01_ES",_x000D_
reset:=#Unit.AHU.Command.General_reset,
           Process:=#Unit.ES_SU01B,
                       InOut:="HVAC_SU01B"."ES_SU01B".InOut,
                       Parameters:="HVAC_SU01B"."ES_SU01B".Parameters,
                       Settings:="HVAC_SU01B"."ES_SU01B".Settings);
</t>
  </si>
  <si>
    <t xml:space="preserve">#FC_SU01B(value:="SU01_FC_AL",_x000D_
reset:=#Unit.AHU.Command.General_reset,
           Process:=#Unit.FC_SU01B,
                       InOut:="HVAC_SU01B"."FC_SU01B".InOut,
                       Parameters:="HVAC_SU01B"."FC_SU01B".Parameters,
                       Settings:="HVAC_SU01B"."FC_SU01B".Settings);
</t>
  </si>
  <si>
    <t xml:space="preserve">#PS24VAC_SU01B(value:="SU01_24VAC",_x000D_
reset:=#Unit.AHU.Command.General_reset,
           Process:=#Unit.PS24VAC_SU01B,
                       InOut:="HVAC_SU01B"."PS24VAC_SU01B".InOut,
                       Parameters:="HVAC_SU01B"."PS24VAC_SU01B".Parameters,
                       Settings:="HVAC_SU01B"."PS24VAC_SU01B".Settings);
</t>
  </si>
  <si>
    <t xml:space="preserve">#PS24VDC_SU01B(value:="SU01_24VDC",_x000D_
reset:=#Unit.AHU.Command.General_reset,
           Process:=#Unit.PS24VDC_SU01B,
                       InOut:="HVAC_SU01B"."PS24VDC_SU01B".InOut,
                       Parameters:="HVAC_SU01B"."PS24VDC_SU01B".Parameters,
                       Settings:="HVAC_SU01B"."PS24VDC_SU01B".Settings);
</t>
  </si>
  <si>
    <t>A101-CPU</t>
  </si>
  <si>
    <t xml:space="preserve">#$TAG$(emergencyStop:=#Unit.AHU.Command.Emergency_stop,
          reset:=#Unit.AHU.Command.General_reset,
          Process:=$PROCESS$,
          InOut:=ObjAnalogMeasure.InOut[$INOUT$],
          Parameters:=$PARAMETERS$,
          Settings:=$SETTINGS$,
          Statistic:=$STATISTIC$);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</si>
</sst>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_)"/>
  </numFmts>
  <fonts count="10" x14ac:knownFonts="1">
    <font>
      <sz val="11"/>
      <color theme="1"/>
      <name val="Segoe UI"/>
      <family val="2"/>
    </font>
    <font>
      <sz val="8"/>
      <name val="Segoe UI"/>
      <family val="2"/>
    </font>
    <font>
      <b/>
      <sz val="11"/>
      <color theme="1"/>
      <name val="Segoe UI"/>
      <family val="2"/>
    </font>
    <font>
      <sz val="10"/>
      <name val="Arial"/>
      <family val="2"/>
    </font>
    <font>
      <sz val="10"/>
      <name val="Times New Roman"/>
      <family val="1"/>
    </font>
    <font>
      <u/>
      <sz val="10"/>
      <color indexed="36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sz val="6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3" fillId="0" borderId="0"/>
    <xf numFmtId="164" fontId="4" fillId="0" borderId="0" applyBorder="0" applyAlignment="0">
      <alignment horizontal="right"/>
    </xf>
    <xf numFmtId="0" fontId="5" fillId="0" borderId="0" applyNumberFormat="0" applyFill="0" applyBorder="0" applyAlignment="0" applyProtection="0">
      <alignment vertical="top"/>
      <protection locked="0"/>
    </xf>
    <xf numFmtId="0" fontId="6" fillId="0" borderId="2" applyBorder="0">
      <protection locked="0"/>
    </xf>
    <xf numFmtId="0" fontId="9" fillId="0" borderId="0"/>
    <xf numFmtId="0" fontId="9" fillId="0" borderId="0"/>
    <xf numFmtId="2" fontId="7" fillId="0" borderId="1" applyNumberFormat="0"/>
    <xf numFmtId="0" fontId="9" fillId="0" borderId="0"/>
    <xf numFmtId="0" fontId="8" fillId="0" borderId="3" applyBorder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49" fontId="0" fillId="0" borderId="0" xfId="0" applyNumberFormat="1"/>
    <xf numFmtId="0" fontId="0" fillId="2" borderId="0" xfId="0" applyFill="1"/>
    <xf numFmtId="0" fontId="0" fillId="0" borderId="4" xfId="0" applyBorder="1"/>
  </cellXfs>
  <cellStyles count="12">
    <cellStyle name="Data Sht." xfId="2" xr:uid="{4078D8B8-81D7-46C9-B0C8-0760C5A630D8}"/>
    <cellStyle name="Gevolgde hyperlink" xfId="3" xr:uid="{2F6B2489-0825-4F67-8918-3AB98DAB25B1}"/>
    <cellStyle name="Input 2" xfId="4" xr:uid="{98B96A07-4D01-4AAE-9830-ED7B8CF7D001}"/>
    <cellStyle name="Normal" xfId="0" builtinId="0"/>
    <cellStyle name="Normal 2" xfId="5" xr:uid="{98D784E3-E5D0-49BB-BB5D-D4F8EEEE0E84}"/>
    <cellStyle name="Normal 3" xfId="6" xr:uid="{2E7F7061-B9B9-480A-A687-99DB22C2294B}"/>
    <cellStyle name="Normal 4" xfId="1" xr:uid="{B7A69858-51B2-4354-BF24-2297C3EAF80E}"/>
    <cellStyle name="Output 2" xfId="7" xr:uid="{6571EC2C-88A7-47FD-B32D-FF37BC8B022D}"/>
    <cellStyle name="Percent 2" xfId="11" xr:uid="{025ADF75-E2FF-46D9-8796-579E170D7427}"/>
    <cellStyle name="Percent 3" xfId="10" xr:uid="{CC8466B2-E614-4BF7-BA99-9C28D230EBFF}"/>
    <cellStyle name="Standaard 2" xfId="8" xr:uid="{BB597B47-95CC-4A8E-BC8A-AE8F5701C285}"/>
    <cellStyle name="StraightLength" xfId="9" xr:uid="{0EB6B62B-B008-4AB5-A709-7E522BB79759}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rmoventkomerc-my.sharepoint.com/personal/nikola_brenjo_termovent_rs/Documents/Desktop/TEMP/ID%20List%20SU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bineQuery"/>
      <sheetName val="IOFunctionBlock "/>
      <sheetName val="IODataBlock"/>
      <sheetName val="HMI"/>
      <sheetName val="AnalogueMeasure"/>
      <sheetName val="DigitalInput"/>
      <sheetName val="MotorMod"/>
      <sheetName val="ValveOnOff"/>
      <sheetName val="Sheet2"/>
      <sheetName val="ValveMod"/>
      <sheetName val="MotorOnOff"/>
      <sheetName val="ContPID"/>
      <sheetName val="Unit"/>
      <sheetName val="TempManager"/>
      <sheetName val="Eql_Query"/>
      <sheetName val="Settings"/>
      <sheetName val="FunctionTemplates"/>
      <sheetName val="IO_AnalogueMeasure"/>
      <sheetName val="IO_MotorModulating"/>
      <sheetName val="IO_MotorOnOff"/>
      <sheetName val="IO_RegPWM"/>
      <sheetName val="IO_ValveModulating"/>
      <sheetName val="IoListQuery"/>
      <sheetName val="IO_ValveOnOff"/>
      <sheetName val="IO_DigitalInput"/>
      <sheetName val="QueryAlarmTypes"/>
      <sheetName val="Sheet1"/>
      <sheetName val="QueryDI Alarms"/>
      <sheetName val="PW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6">
          <cell r="C6" t="str">
            <v>"CommDamperOpen"(Parameters:="$DB$"."$TAG$".Parameters, Fbk:="ModbusStations".$TAG$.Data.Fbk)</v>
          </cell>
        </row>
        <row r="7">
          <cell r="C7" t="str">
            <v>"CommDamperClosed"(Parameters:="$DB$"."$TAG$".Parameters, Fbk:="ModbusStations".$TAG$.Data.Fbk)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688B4942-CDAD-44B2-A2AE-133ABD7C94EB}" autoFormatId="16" applyNumberFormats="0" applyBorderFormats="0" applyFontFormats="0" applyPatternFormats="0" applyAlignmentFormats="0" applyWidthHeightFormats="0">
  <queryTableRefresh nextId="30">
    <queryTableFields count="5">
      <queryTableField id="25" name="System" tableColumnId="2"/>
      <queryTableField id="3" name="Obj" tableColumnId="3"/>
      <queryTableField id="4" name="Process" tableColumnId="4"/>
      <queryTableField id="27" name="Custom" tableColumnId="5"/>
      <queryTableField id="24" name="Obj.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37EC3C60-9CCF-4C32-9110-05235EECA7D6}" autoFormatId="16" applyNumberFormats="0" applyBorderFormats="0" applyFontFormats="0" applyPatternFormats="0" applyAlignmentFormats="0" applyWidthHeightFormats="0">
  <queryTableRefresh nextId="30">
    <queryTableFields count="5">
      <queryTableField id="25" name="System" tableColumnId="2"/>
      <queryTableField id="3" name="Obj" tableColumnId="3"/>
      <queryTableField id="4" name="Process" tableColumnId="4"/>
      <queryTableField id="27" name="Custom" tableColumnId="5"/>
      <queryTableField id="24" name="Obj.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17" xr16:uid="{539179B2-1A72-48BD-8ACA-CEC4F4CD2FFF}" autoFormatId="16" applyNumberFormats="0" applyBorderFormats="0" applyFontFormats="0" applyPatternFormats="0" applyAlignmentFormats="0" applyWidthHeightFormats="0">
  <queryTableRefresh nextId="91">
    <queryTableFields count="10">
      <queryTableField id="3" name="Obj" tableColumnId="3"/>
      <queryTableField id="55" name="PLC" tableColumnId="24"/>
      <queryTableField id="83" name="Code" tableColumnId="13"/>
      <queryTableField id="87" name="InOut2" tableColumnId="4"/>
      <queryTableField id="88" name="InOutType2" tableColumnId="5"/>
      <queryTableField id="15" name="FunctionBlock" tableColumnId="8"/>
      <queryTableField id="41" name="StaticType1" tableColumnId="9"/>
      <queryTableField id="42" name="Static1" tableColumnId="10"/>
      <queryTableField id="85" name="InOut1" tableColumnId="1"/>
      <queryTableField id="86" name="InOutType1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16" xr16:uid="{ED524B0A-C546-4746-BD43-EA3366DA5094}" autoFormatId="16" applyNumberFormats="0" applyBorderFormats="0" applyFontFormats="0" applyPatternFormats="0" applyAlignmentFormats="0" applyWidthHeightFormats="0">
  <queryTableRefresh nextId="85">
    <queryTableFields count="9">
      <queryTableField id="3" name="Obj" tableColumnId="3"/>
      <queryTableField id="55" name="PLC" tableColumnId="24"/>
      <queryTableField id="83" name="Code" tableColumnId="13"/>
      <queryTableField id="15" name="FunctionBlock" tableColumnId="8"/>
      <queryTableField id="41" name="StaticType1" tableColumnId="9"/>
      <queryTableField id="42" name="Static1" tableColumnId="10"/>
      <queryTableField id="53" name="System" tableColumnId="23"/>
      <queryTableField id="81" name="Const1" tableColumnId="11"/>
      <queryTableField id="82" name="ConstType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13" xr16:uid="{3356CDCA-BD16-4810-9E59-E5747C321FC8}" autoFormatId="16" applyNumberFormats="0" applyBorderFormats="0" applyFontFormats="0" applyPatternFormats="0" applyAlignmentFormats="0" applyWidthHeightFormats="0">
  <queryTableRefresh nextId="93">
    <queryTableFields count="7">
      <queryTableField id="89" name="SubSystem" tableColumnId="5"/>
      <queryTableField id="3" name="Obj" tableColumnId="3"/>
      <queryTableField id="55" name="PLC" tableColumnId="24"/>
      <queryTableField id="83" name="Code" tableColumnId="13"/>
      <queryTableField id="87" name="DataBlock" tableColumnId="4"/>
      <queryTableField id="90" name="RetainType1" tableColumnId="6"/>
      <queryTableField id="91" name="Retain1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15" xr16:uid="{637CBC63-C869-4463-8D40-9095AF30DE7F}" autoFormatId="16" applyNumberFormats="0" applyBorderFormats="0" applyFontFormats="0" applyPatternFormats="0" applyAlignmentFormats="0" applyWidthHeightFormats="0">
  <queryTableRefresh nextId="100">
    <queryTableFields count="9">
      <queryTableField id="87" name="RealTag" tableColumnId="1"/>
      <queryTableField id="90" name="Connection" tableColumnId="5"/>
      <queryTableField id="91" name="ID" tableColumnId="6"/>
      <queryTableField id="92" name="Type" tableColumnId="7"/>
      <queryTableField id="93" name="Address" tableColumnId="8"/>
      <queryTableField id="94" name="HMI" tableColumnId="9"/>
      <queryTableField id="95" name="TagTable" tableColumnId="10"/>
      <queryTableField id="96" name="Name" tableColumnId="11"/>
      <queryTableField id="97" name="TextList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44BABF9-0668-4248-BC00-7CBBB0F78C28}" autoFormatId="16" applyNumberFormats="0" applyBorderFormats="0" applyFontFormats="0" applyPatternFormats="0" applyAlignmentFormats="0" applyWidthHeightFormats="0">
  <queryTableRefresh nextId="34">
    <queryTableFields count="8">
      <queryTableField id="26" name="Column1" tableColumnId="1"/>
      <queryTableField id="27" name="Column2" tableColumnId="2"/>
      <queryTableField id="28" name="Column3" tableColumnId="3"/>
      <queryTableField id="29" name="Column4" tableColumnId="4"/>
      <queryTableField id="30" name="Column5" tableColumnId="5"/>
      <queryTableField id="31" name="Column6" tableColumnId="6"/>
      <queryTableField id="32" name="Column7" tableColumnId="7"/>
      <queryTableField id="33" name="Column8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6F768EC-0AA6-4123-B6D6-AF525E198256}" autoFormatId="16" applyNumberFormats="0" applyBorderFormats="0" applyFontFormats="0" applyPatternFormats="0" applyAlignmentFormats="0" applyWidthHeightFormats="0">
  <queryTableRefresh nextId="43">
    <queryTableFields count="16">
      <queryTableField id="26" name="Column1" tableColumnId="1"/>
      <queryTableField id="27" name="Column2" tableColumnId="2"/>
      <queryTableField id="28" name="Column3" tableColumnId="3"/>
      <queryTableField id="41" name="Custom" tableColumnId="16"/>
      <queryTableField id="29" name="Column4" tableColumnId="4"/>
      <queryTableField id="30" name="Column5" tableColumnId="5"/>
      <queryTableField id="31" name="Column6" tableColumnId="6"/>
      <queryTableField id="32" name="Column7" tableColumnId="7"/>
      <queryTableField id="33" name="Column8" tableColumnId="8"/>
      <queryTableField id="34" name="Column9" tableColumnId="9"/>
      <queryTableField id="35" name="Column10" tableColumnId="10"/>
      <queryTableField id="36" name="Column11" tableColumnId="11"/>
      <queryTableField id="37" name="Column12" tableColumnId="12"/>
      <queryTableField id="38" name="Column13" tableColumnId="13"/>
      <queryTableField id="39" name="Column14" tableColumnId="14"/>
      <queryTableField id="40" name="Column15" tableColumnId="1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EB8FB93C-12F2-4B2E-BBBB-A72844F003DB}" autoFormatId="16" applyNumberFormats="0" applyBorderFormats="0" applyFontFormats="0" applyPatternFormats="0" applyAlignmentFormats="0" applyWidthHeightFormats="0">
  <queryTableRefresh nextId="17">
    <queryTableFields count="3">
      <queryTableField id="1" name="RealTag" tableColumnId="1"/>
      <queryTableField id="15" name="Custom" tableColumnId="4"/>
      <queryTableField id="14" name="System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E45A2315-64CA-4AD4-8E04-2989E60FCD48}" autoFormatId="16" applyNumberFormats="0" applyBorderFormats="0" applyFontFormats="0" applyPatternFormats="0" applyAlignmentFormats="0" applyWidthHeightFormats="0">
  <queryTableRefresh nextId="23">
    <queryTableFields count="6">
      <queryTableField id="1" name="RealTag" tableColumnId="1"/>
      <queryTableField id="15" name="Custom" tableColumnId="4"/>
      <queryTableField id="21" name="SubSystem" tableColumnId="6"/>
      <queryTableField id="17" name="Address" tableColumnId="5"/>
      <queryTableField id="19" name="CodeMux" tableColumnId="3"/>
      <queryTableField id="14" name="System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81AE2746-F035-4C41-952E-A716BCB889B4}" autoFormatId="16" applyNumberFormats="0" applyBorderFormats="0" applyFontFormats="0" applyPatternFormats="0" applyAlignmentFormats="0" applyWidthHeightFormats="0">
  <queryTableRefresh nextId="28">
    <queryTableFields count="6">
      <queryTableField id="3" name="Obj" tableColumnId="3"/>
      <queryTableField id="14" name="ID" tableColumnId="8"/>
      <queryTableField id="24" name="Connection" tableColumnId="1"/>
      <queryTableField id="25" name="PLC" tableColumnId="2"/>
      <queryTableField id="13" name="Type" tableColumnId="6"/>
      <queryTableField id="22" name="Custom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31D7E4-063A-4BB0-842E-313D725C6603}" name="Table8_220" displayName="Table8_220" ref="A1:E161" tableType="queryTable" totalsRowShown="0">
  <autoFilter ref="A1:E161" xr:uid="{B72AC431-F201-4D20-AAE1-18E16B9F2891}"/>
  <tableColumns count="5">
    <tableColumn id="2" xr3:uid="{33888402-192D-4C03-A393-6FBAC4EFA782}" uniqueName="2" name="System" queryTableFieldId="25"/>
    <tableColumn id="3" xr3:uid="{F608816B-A18A-40AB-9370-EBECC2CE90EC}" uniqueName="3" name="Obj" queryTableFieldId="3"/>
    <tableColumn id="4" xr3:uid="{288A9749-0A9C-467A-80A7-316689B0D82F}" uniqueName="4" name="Process" queryTableFieldId="4"/>
    <tableColumn id="5" xr3:uid="{35409026-F28D-41FF-802C-F5BEDCB1028D}" uniqueName="5" name="Custom" queryTableFieldId="27"/>
    <tableColumn id="1" xr3:uid="{3F1902BF-39C1-468E-9B17-6EB59B5E6F72}" uniqueName="1" name="Obj.1" queryTableFieldId="2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0CF15CF-E819-4316-B798-4819CE8A9862}" name="Table8_22021" displayName="Table8_22021" ref="G1:K37" tableType="queryTable" totalsRowShown="0">
  <autoFilter ref="G1:K37" xr:uid="{B4B5C0CB-E1C7-453D-83B5-4BDE5C18BE42}"/>
  <tableColumns count="5">
    <tableColumn id="2" xr3:uid="{C7FED19F-7B20-4F87-9D34-751EB3399C00}" uniqueName="2" name="System" queryTableFieldId="25"/>
    <tableColumn id="3" xr3:uid="{973415DF-9D79-48CC-9B09-7D84A5F7DC7E}" uniqueName="3" name="Obj" queryTableFieldId="3"/>
    <tableColumn id="4" xr3:uid="{92B14ADC-BEA1-4227-8698-331AFF52492E}" uniqueName="4" name="Process" queryTableFieldId="4"/>
    <tableColumn id="5" xr3:uid="{5BD15D58-62FD-4C51-96FD-5E9C7DE991BB}" uniqueName="5" name="Custom" queryTableFieldId="27"/>
    <tableColumn id="1" xr3:uid="{326F1E6C-C47A-498E-91F2-5A71AD1AC17A}" uniqueName="1" name="Obj.1" queryTableFieldId="2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9C75E09-FEFB-47B7-AA75-AE6081356EC6}" name="Table8_26914919" displayName="Table8_26914919" ref="A1:J197" tableType="queryTable" totalsRowShown="0">
  <autoFilter ref="A1:J197" xr:uid="{E04597BF-6F3D-4B2A-9546-7DA17E4BB736}"/>
  <tableColumns count="10">
    <tableColumn id="3" xr3:uid="{EFA0EB0E-1060-4D71-BC55-24D5F58A102D}" uniqueName="3" name="Obj" queryTableFieldId="3"/>
    <tableColumn id="24" xr3:uid="{1EF7B484-A119-4A89-9140-EEC31185838D}" uniqueName="24" name="PLC" queryTableFieldId="55"/>
    <tableColumn id="13" xr3:uid="{F447CE1B-384C-4841-9646-E731D058853F}" uniqueName="13" name="Code" queryTableFieldId="83"/>
    <tableColumn id="4" xr3:uid="{4A8535A9-C12F-4F6D-9B24-B1DA7227BF34}" uniqueName="4" name="InOut2" queryTableFieldId="87"/>
    <tableColumn id="5" xr3:uid="{0C1DEDCA-20D2-4BFB-94CB-FB52055928F7}" uniqueName="5" name="InOutType2" queryTableFieldId="88"/>
    <tableColumn id="8" xr3:uid="{1C7A794D-C604-4AB3-B916-6F842EFB0D5A}" uniqueName="8" name="FunctionBlock" queryTableFieldId="15"/>
    <tableColumn id="9" xr3:uid="{E04627A9-B8DC-4F2D-9D25-59D33AC1210B}" uniqueName="9" name="StaticType1" queryTableFieldId="41"/>
    <tableColumn id="10" xr3:uid="{72143644-A5D6-420B-94B6-4216B66478E3}" uniqueName="10" name="Static1" queryTableFieldId="42"/>
    <tableColumn id="1" xr3:uid="{2F852798-CDF8-4A26-86FE-3616F11718D3}" uniqueName="1" name="InOut1" queryTableFieldId="85"/>
    <tableColumn id="2" xr3:uid="{9F0FF044-682A-4DA1-81B3-8075F79A62C9}" uniqueName="2" name="InOutType1" queryTableFieldId="8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5C4ABF-B8DF-4E5F-8438-1C3056D73E43}" name="Table8_26914" displayName="Table8_26914" ref="L1:T212" tableType="queryTable" totalsRowShown="0">
  <autoFilter ref="L1:T212" xr:uid="{CB8B7006-5B42-4A84-AC0A-E067CAD71C0B}"/>
  <tableColumns count="9">
    <tableColumn id="3" xr3:uid="{4773B128-3D66-400E-B4DA-D07FA64570FA}" uniqueName="3" name="Obj" queryTableFieldId="3"/>
    <tableColumn id="24" xr3:uid="{A8F2DB7F-79D1-4626-ACD9-102F0643BA4B}" uniqueName="24" name="PLC" queryTableFieldId="55"/>
    <tableColumn id="13" xr3:uid="{F3DFE900-9CDD-4ECF-8EA3-793BF6453DEC}" uniqueName="13" name="Code" queryTableFieldId="83"/>
    <tableColumn id="8" xr3:uid="{32777AC0-840F-4B07-8301-929F35117042}" uniqueName="8" name="FunctionBlock" queryTableFieldId="15"/>
    <tableColumn id="9" xr3:uid="{36F60D86-FED2-4105-985A-656E3FA55867}" uniqueName="9" name="StaticType1" queryTableFieldId="41"/>
    <tableColumn id="10" xr3:uid="{208E62F4-DF8B-4E65-B3C6-10B8C2609E3E}" uniqueName="10" name="Static1" queryTableFieldId="42"/>
    <tableColumn id="23" xr3:uid="{5203E018-3BF3-4436-B197-9A78DF3158BF}" uniqueName="23" name="System" queryTableFieldId="53"/>
    <tableColumn id="11" xr3:uid="{BDCECAB0-ABD5-40B8-A200-1213F0D2B464}" uniqueName="11" name="Const1" queryTableFieldId="81"/>
    <tableColumn id="12" xr3:uid="{08905FE1-B728-46E2-B049-F18602F16AF1}" uniqueName="12" name="ConstType1" queryTableFieldId="8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2F335B-5FF0-4209-BE01-4D02C6A0C6EA}" name="Table8_2691491915" displayName="Table8_2691491915" ref="A1:G212" tableType="queryTable" totalsRowShown="0">
  <autoFilter ref="A1:G212" xr:uid="{BBD37623-2D78-40A4-B59C-7B54A6357A24}"/>
  <tableColumns count="7">
    <tableColumn id="5" xr3:uid="{242F4835-79C1-4AC2-9EA1-DFF50835BCE6}" uniqueName="5" name="SubSystem" queryTableFieldId="89"/>
    <tableColumn id="3" xr3:uid="{388A468F-8A66-4D76-8561-6D7E6CAE3518}" uniqueName="3" name="Obj" queryTableFieldId="3"/>
    <tableColumn id="24" xr3:uid="{64A02367-DD13-48D0-B885-16FD29E9C88A}" uniqueName="24" name="PLC" queryTableFieldId="55"/>
    <tableColumn id="13" xr3:uid="{422CBD4A-252C-48A8-9B2F-C03A5B2C0631}" uniqueName="13" name="Code" queryTableFieldId="83"/>
    <tableColumn id="4" xr3:uid="{BC7B59A8-1773-4A5F-97AA-E7C8F24043B7}" uniqueName="4" name="DataBlock" queryTableFieldId="87"/>
    <tableColumn id="6" xr3:uid="{99135BB9-6BC5-481D-BC96-59514C735B90}" uniqueName="6" name="RetainType1" queryTableFieldId="90"/>
    <tableColumn id="7" xr3:uid="{B42EA1B2-77F9-40E1-AFD1-E66A266CC4AF}" uniqueName="7" name="Retain1" queryTableFieldId="9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1173B1-E446-460E-8317-21AC328D3BEB}" name="Table8_269149" displayName="Table8_269149" ref="A1:I212" tableType="queryTable" totalsRowShown="0">
  <autoFilter ref="A1:I212" xr:uid="{DB06D2DB-7E12-49E9-B846-A6767BEFF390}"/>
  <tableColumns count="9">
    <tableColumn id="1" xr3:uid="{853503D4-B149-4184-9970-9402792FDCEF}" uniqueName="1" name="RealTag" queryTableFieldId="87"/>
    <tableColumn id="5" xr3:uid="{F2021BE4-FF83-4052-B78D-79F22038657C}" uniqueName="5" name="Connection" queryTableFieldId="90"/>
    <tableColumn id="6" xr3:uid="{0D617247-A119-44DB-A120-1F1E5F9DB6F7}" uniqueName="6" name="ID" queryTableFieldId="91"/>
    <tableColumn id="7" xr3:uid="{55CB16D9-C32B-4EC9-954F-6B0D797CF9B9}" uniqueName="7" name="Type" queryTableFieldId="92"/>
    <tableColumn id="8" xr3:uid="{5E2F7627-06B7-4F63-9B96-4652A4B87B89}" uniqueName="8" name="Address" queryTableFieldId="93"/>
    <tableColumn id="9" xr3:uid="{772CE968-6897-4678-B303-EAA5DFF5B28E}" uniqueName="9" name="HMI" queryTableFieldId="94"/>
    <tableColumn id="10" xr3:uid="{45123A9C-B2C8-46C5-A718-3B920297BD79}" uniqueName="10" name="TagTable" queryTableFieldId="95"/>
    <tableColumn id="11" xr3:uid="{D7EC6108-C2EE-4A32-9018-577F33C96179}" uniqueName="11" name="Name" queryTableFieldId="96"/>
    <tableColumn id="12" xr3:uid="{A2BAE3B0-0968-4E3D-BC8D-9F81E7154CEA}" uniqueName="12" name="TextList" queryTableFieldId="9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CAC1EE-A7AD-4B07-ACAC-0FB58B3DC93F}" name="AnalogueMeasure" displayName="AnalogueMeasure" ref="A1:M62" totalsRowShown="0">
  <autoFilter ref="A1:M62" xr:uid="{B6A1E756-7938-47A0-918A-021AF46F269B}"/>
  <tableColumns count="13">
    <tableColumn id="9" xr3:uid="{F98BD916-0002-409B-B767-2D0C7FD4A280}" name="Process"/>
    <tableColumn id="7" xr3:uid="{7565D72C-4DA1-4443-809F-4957F7537083}" name="RealTag">
      <calculatedColumnFormula>SUBSTITUTE(AnalogueMeasure[[#This Row],[Obj]],"_","-")</calculatedColumnFormula>
    </tableColumn>
    <tableColumn id="8" xr3:uid="{DF52FC80-3AFB-48A9-B167-564A79BB374B}" name="System" dataDxfId="20"/>
    <tableColumn id="14" xr3:uid="{85A7841B-D838-4330-96B8-BF4CFA925902}" name="SubSystem"/>
    <tableColumn id="4" xr3:uid="{A683916C-1933-4516-B640-9A3681C2C6B6}" name="Obj">
      <calculatedColumnFormula>SUBSTITUTE(AnalogueMeasure[[#This Row],[RealTag]],"-","_")</calculatedColumnFormula>
    </tableColumn>
    <tableColumn id="1" xr3:uid="{0D94852A-1F68-4A6A-8F66-115FCDED907E}" name="Tag">
      <calculatedColumnFormula>"_" &amp; AnalogueMeasure[[#This Row],[Obj]]</calculatedColumnFormula>
    </tableColumn>
    <tableColumn id="2" xr3:uid="{6C73AA7A-3BE9-4B0F-9ED5-6A024E2B5F63}" name="Type"/>
    <tableColumn id="3" xr3:uid="{7575A21D-B079-43F5-8686-034D6C99B511}" name="ID">
      <calculatedColumnFormula>ROW()-2</calculatedColumnFormula>
    </tableColumn>
    <tableColumn id="13" xr3:uid="{168C5242-3C78-415D-A17C-A2AA822E59DC}" name="Connection"/>
    <tableColumn id="12" xr3:uid="{CF321680-0BB4-493D-8FD4-86DB2A951C1D}" name="PLC"/>
    <tableColumn id="6" xr3:uid="{319C80E4-89DE-4362-B20A-1619F1AE2263}" name="Address">
      <calculatedColumnFormula>SUBSTITUTE(HMIPATH_AnalogueMeasure,"$",AnalogueMeasure[[#This Row],[ID]])</calculatedColumnFormula>
    </tableColumn>
    <tableColumn id="5" xr3:uid="{99FE2C71-2421-4005-932B-0391FA4A1452}" name="Code">
      <calculatedColumnFormula array="1">FAnalogueMeasure(AnalogueMeasure[[#This Row],[Obj]],AnalogueMeasure[[#This Row],[System]])</calculatedColumnFormula>
    </tableColumn>
    <tableColumn id="10" xr3:uid="{D419367C-1F80-490C-90D3-52B4EF3A1288}" name="AMS">
      <calculatedColumnFormula array="1">AnaMeasureAMS(AnalogueMeasure[[#This Row],[Tag]])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5602501-C810-4EEF-ABB1-D1A9D7D2F49A}" name="DigitalInput" displayName="DigitalInput" ref="A1:N32" totalsRowShown="0">
  <autoFilter ref="A1:N32" xr:uid="{C8276163-074C-460E-A3AE-E1A576679455}"/>
  <sortState xmlns:xlrd2="http://schemas.microsoft.com/office/spreadsheetml/2017/richdata2" ref="B2:F3">
    <sortCondition ref="F2:F3"/>
  </sortState>
  <tableColumns count="14">
    <tableColumn id="9" xr3:uid="{13D905E4-345E-4F75-B526-9B2543331082}" name="Process">
      <calculatedColumnFormula>"DigitalInputProcess"</calculatedColumnFormula>
    </tableColumn>
    <tableColumn id="6" xr3:uid="{A3FB722F-708B-43A6-B66E-A9938152474A}" name="RealTag">
      <calculatedColumnFormula>SUBSTITUTE(DigitalInput[[#This Row],[Obj]],"_","-")</calculatedColumnFormula>
    </tableColumn>
    <tableColumn id="8" xr3:uid="{F4179A41-9DF5-462C-93DE-FDC70CC3AB3D}" name="System" dataDxfId="19"/>
    <tableColumn id="14" xr3:uid="{5F465D4C-91DF-4F42-BF47-A478A36F834A}" name="SubSystem" dataDxfId="18">
      <calculatedColumnFormula array="1">GetSystemFromTag(DigitalInput[[#This Row],[Obj]])</calculatedColumnFormula>
    </tableColumn>
    <tableColumn id="4" xr3:uid="{2B78191A-AC79-4D96-B530-EC6DC8BAA0FB}" name="Obj">
      <calculatedColumnFormula>SUBSTITUTE(DigitalInput[[#This Row],[RealTag]],"-","_")</calculatedColumnFormula>
    </tableColumn>
    <tableColumn id="1" xr3:uid="{9B01B9BD-ED07-4602-97B9-272771D6F5E8}" name="Tag">
      <calculatedColumnFormula>"_" &amp; DigitalInput[[#This Row],[Obj]]</calculatedColumnFormula>
    </tableColumn>
    <tableColumn id="2" xr3:uid="{87C16453-ADC2-48B1-8FD4-A700E3DEB25A}" name="Type" dataDxfId="17">
      <calculatedColumnFormula>"Dint"</calculatedColumnFormula>
    </tableColumn>
    <tableColumn id="3" xr3:uid="{83B79611-433C-47E9-9268-18217422F149}" name="ID">
      <calculatedColumnFormula>ROW()-2</calculatedColumnFormula>
    </tableColumn>
    <tableColumn id="12" xr3:uid="{9C3C2EFE-DF8F-4324-B0D4-EEE243A29FB9}" name="Connection"/>
    <tableColumn id="11" xr3:uid="{C3F843BC-32EB-46A3-81E6-647001A86F91}" name="PLC"/>
    <tableColumn id="7" xr3:uid="{0C8FD050-9A35-474D-AF2C-92FA0AA28EBC}" name="Address">
      <calculatedColumnFormula>SUBSTITUTE(HMIPATH_DigitalInput,"$",DigitalInput[[#This Row],[ID]])</calculatedColumnFormula>
    </tableColumn>
    <tableColumn id="5" xr3:uid="{0E00A496-FB22-40BB-B53F-C1A018D415DB}" name="Code">
      <calculatedColumnFormula array="1">FDigitalInput(DigitalInput[[#This Row],[Obj]],DigitalInput[[#This Row],[System]])</calculatedColumnFormula>
    </tableColumn>
    <tableColumn id="13" xr3:uid="{2200DF81-C183-480A-A84E-A0D14BFBD367}" name="CodeMux">
      <calculatedColumnFormula array="1">MUXDigitalInput(DigitalInput[[#This Row],[Obj]],DigitalInput[[#This Row],[System]])</calculatedColumnFormula>
    </tableColumn>
    <tableColumn id="10" xr3:uid="{E9C0F48F-E36C-48B7-A6D3-FBB035E522AD}" name="AMS">
      <calculatedColumnFormula array="1">DigitalInputAMS(DigitalInput[[#This Row],[Tag]])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A9BAA0-588B-4829-8F43-EB2004720C73}" name="MotorMod" displayName="MotorMod" ref="A1:N11" totalsRowShown="0">
  <autoFilter ref="A1:N11" xr:uid="{2FFE3E58-2455-4C9C-9722-9E2C1B496C52}"/>
  <tableColumns count="14">
    <tableColumn id="9" xr3:uid="{8736A04E-1000-4150-AAFA-FC83E5FC4372}" name="Process"/>
    <tableColumn id="6" xr3:uid="{D8A2B049-7087-443A-99DD-0B0525CFC975}" name="RealTag"/>
    <tableColumn id="8" xr3:uid="{766288CA-3660-418F-A375-0203AAFC0712}" name="System" dataDxfId="16"/>
    <tableColumn id="14" xr3:uid="{F5F93E5D-FDD6-4EC4-BC5C-9C977C6D03A5}" name="SubSystem" dataDxfId="15">
      <calculatedColumnFormula array="1">GetSystemFromTag(MotorMod[[#This Row],[Obj]])</calculatedColumnFormula>
    </tableColumn>
    <tableColumn id="4" xr3:uid="{CF1E0642-5DB5-444A-B38B-0F2071DAABD3}" name="Obj"/>
    <tableColumn id="1" xr3:uid="{F15DB4D8-77DE-4EB6-A69B-15FB6C2AE2D3}" name="Tag"/>
    <tableColumn id="2" xr3:uid="{2AE3F478-4C09-41CA-92A3-492718F04723}" name="Type"/>
    <tableColumn id="3" xr3:uid="{8E1CC49E-B481-48B9-A66D-95891DA9AD8B}" name="ID">
      <calculatedColumnFormula>ROW()-2</calculatedColumnFormula>
    </tableColumn>
    <tableColumn id="11" xr3:uid="{D36FCA3A-4E9B-40A9-A85A-82163C219FC0}" name="Connection"/>
    <tableColumn id="12" xr3:uid="{B0587D28-1A88-4BAC-946A-9DF5B625D59C}" name="PLC"/>
    <tableColumn id="7" xr3:uid="{E25F5783-4A1D-45FA-AF5A-AD61B768A561}" name="Address">
      <calculatedColumnFormula>SUBSTITUTE(HMIPATH_MotorModulating,"$",MotorMod[[#This Row],[ID]])</calculatedColumnFormula>
    </tableColumn>
    <tableColumn id="5" xr3:uid="{1BDF91A2-9097-482A-8C40-72AE167E70F2}" name="Code">
      <calculatedColumnFormula array="1">FMotorModulatingExt(MotorMod[[#This Row],[Obj]],MotorMod[[#This Row],[System]])</calculatedColumnFormula>
    </tableColumn>
    <tableColumn id="13" xr3:uid="{E9729A43-6AC8-4E62-9588-6A2B4B57E04D}" name="CodeMux">
      <calculatedColumnFormula array="1">MUXMotorModulating(MotorMod[[#This Row],[Obj]],MotorMod[[#This Row],[System]])</calculatedColumnFormula>
    </tableColumn>
    <tableColumn id="10" xr3:uid="{07951FF5-7781-44C1-9B7A-CF8D51FAEFBE}" name="AMS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E9F4696-7B05-4819-9636-AFDA9789A26D}" name="ValveOnOff" displayName="ValveOnOff" ref="A1:N10" totalsRowShown="0">
  <autoFilter ref="A1:N10" xr:uid="{F1C08E35-19AD-4089-B2FC-C7722BBBFB2E}"/>
  <tableColumns count="14">
    <tableColumn id="10" xr3:uid="{2DF0FB57-72EB-4266-8612-323FEE909643}" name="Process"/>
    <tableColumn id="1" xr3:uid="{DB873D4B-2191-4C44-B612-C747D8E89E89}" name="RealTag">
      <calculatedColumnFormula>SUBSTITUTE(ValveOnOff[[#This Row],[Obj]],"_","-")</calculatedColumnFormula>
    </tableColumn>
    <tableColumn id="12" xr3:uid="{7F285D26-84BE-46EC-869B-4C8F88FB3DF4}" name="System"/>
    <tableColumn id="14" xr3:uid="{B18A67F1-4B19-4907-9CD8-D362B0483F78}" name="SubSystem" dataDxfId="14">
      <calculatedColumnFormula array="1">GetSystemFromTag(ValveOnOff[[#This Row],[Obj]])</calculatedColumnFormula>
    </tableColumn>
    <tableColumn id="2" xr3:uid="{A0FB9BEF-DFBE-4AF3-9357-C806E15ED1C5}" name="Obj"/>
    <tableColumn id="3" xr3:uid="{2DDA2E06-BABD-4FCD-A899-00A284D92CE7}" name="Tag">
      <calculatedColumnFormula>"_" &amp;ValveOnOff[[#This Row],[Obj]]</calculatedColumnFormula>
    </tableColumn>
    <tableColumn id="4" xr3:uid="{F57070B8-8AAF-4EEF-8827-6ADD23047DCC}" name="Type"/>
    <tableColumn id="5" xr3:uid="{FED117B0-BD13-415A-BBC9-EB482494C287}" name="ID">
      <calculatedColumnFormula>ROW()-2</calculatedColumnFormula>
    </tableColumn>
    <tableColumn id="6" xr3:uid="{F009697E-E4BA-42EA-AA86-3B496CC75CFD}" name="Connection"/>
    <tableColumn id="7" xr3:uid="{EB5B56A5-DA87-4039-85ED-E3F879C14FF6}" name="PLC"/>
    <tableColumn id="8" xr3:uid="{342E4915-E2DD-496E-AE88-57CC91F6E5B6}" name="Address">
      <calculatedColumnFormula>SUBSTITUTE(HMIPATH_ValveOnOff,"$",ValveOnOff[[#This Row],[ID]])</calculatedColumnFormula>
    </tableColumn>
    <tableColumn id="9" xr3:uid="{DA11D466-9F88-4CBD-A081-3CC136AEE787}" name="Code">
      <calculatedColumnFormula array="1">FValveOnOff(ValveOnOff[[#This Row],[Obj]],ValveOnOff[[#This Row],[System]])</calculatedColumnFormula>
    </tableColumn>
    <tableColumn id="13" xr3:uid="{74F52D13-CA5C-44FE-87FA-99EC15759CA4}" name="CodeMux">
      <calculatedColumnFormula array="1">MUXValveOnOff(ValveOnOff[[#This Row],[Obj]],ValveOnOff[[#This Row],[System]])</calculatedColumnFormula>
    </tableColumn>
    <tableColumn id="11" xr3:uid="{F00EE8B3-2114-435F-927F-685AF9A5C375}" name="AMS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2B53C4-D2CD-4793-9E79-AF305A437BCB}" name="ValveMod" displayName="ValveMod" ref="A1:N62" totalsRowShown="0">
  <autoFilter ref="A1:N62" xr:uid="{3437D193-F176-4B1E-8654-2FFD9AD93C0A}"/>
  <tableColumns count="14">
    <tableColumn id="8" xr3:uid="{366D3BDD-AD57-45B5-A102-F54810D5758A}" name="Process"/>
    <tableColumn id="6" xr3:uid="{43695199-61E8-4B26-9296-6BB18BD366FA}" name="RealTag">
      <calculatedColumnFormula>SUBSTITUTE(ValveMod[[#This Row],[Obj]],"_","-")</calculatedColumnFormula>
    </tableColumn>
    <tableColumn id="11" xr3:uid="{BD4FEAA6-EB65-4625-81DD-897BDA1F8FFE}" name="System" dataDxfId="13"/>
    <tableColumn id="12" xr3:uid="{640F6774-11E3-4431-80E0-F6E93D16BB09}" name="SubSystem"/>
    <tableColumn id="4" xr3:uid="{4D733D7D-682E-4D80-B89C-66EEDE8131E7}" name="Obj"/>
    <tableColumn id="1" xr3:uid="{7761EA33-6E70-4765-A8EE-490C0F98B110}" name="Tag">
      <calculatedColumnFormula>"_" &amp; ValveMod[[#This Row],[Obj]]</calculatedColumnFormula>
    </tableColumn>
    <tableColumn id="2" xr3:uid="{D65225CB-3C1A-4F53-8E32-8D1006618B66}" name="Type"/>
    <tableColumn id="3" xr3:uid="{69ADD4EA-08B8-4780-ABFF-9FA73B2BD787}" name="ID">
      <calculatedColumnFormula>ROW()-2</calculatedColumnFormula>
    </tableColumn>
    <tableColumn id="10" xr3:uid="{929C81B5-06B0-49B3-8C61-BDBA56752B6D}" name="Connection"/>
    <tableColumn id="9" xr3:uid="{9B24E69E-10FB-4AB0-8E93-2D0B0BC6D1F7}" name="PLC"/>
    <tableColumn id="7" xr3:uid="{1F1D6A20-313F-45FE-8610-909099C51592}" name="Address">
      <calculatedColumnFormula>SUBSTITUTE(HMIPATH_ValveModulating,"$",ValveMod[[#This Row],[ID]])</calculatedColumnFormula>
    </tableColumn>
    <tableColumn id="5" xr3:uid="{FEB967BC-4995-490C-A1D1-51807C97A71E}" name="Code">
      <calculatedColumnFormula array="1">FValveModulating(ValveMod[[#This Row],[Obj]],ValveMod[[#This Row],[System]])</calculatedColumnFormula>
    </tableColumn>
    <tableColumn id="14" xr3:uid="{2BC0EB40-D0DB-4D75-A797-38E1E80DD6B6}" name="CodeMux">
      <calculatedColumnFormula array="1">MUXValveModulating(ValveMod[[#This Row],[Obj]],ValveMod[[#This Row],[System]])</calculatedColumnFormula>
    </tableColumn>
    <tableColumn id="13" xr3:uid="{0DC63552-E006-4F54-A01A-2D09DCBC23B5}" name="AMS">
      <calculatedColumnFormula array="1">ValveAMS(ValveMod[[#This Row],[Tag]])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413B78-619D-4FCB-8352-F9305551FCB1}" name="MotorOnOff" displayName="MotorOnOff" ref="A1:M2" totalsRowShown="0">
  <autoFilter ref="A1:M2" xr:uid="{C24C12E7-49A8-4C11-B4C9-26D00CC1CDF4}"/>
  <tableColumns count="13">
    <tableColumn id="11" xr3:uid="{DD13FD76-ECCE-4161-9406-9BE894DFE90D}" name="Process"/>
    <tableColumn id="1" xr3:uid="{42D61F1B-C5CE-42D1-846B-DCFE6DC65F56}" name="RealTag">
      <calculatedColumnFormula>SUBSTITUTE(MotorOnOff[[#This Row],[Obj]],"_","-")</calculatedColumnFormula>
    </tableColumn>
    <tableColumn id="2" xr3:uid="{18A6B6C5-F049-4554-AF43-DD6BFC1D8C28}" name="System" dataDxfId="12"/>
    <tableColumn id="3" xr3:uid="{F492C839-0A09-4697-9C69-9B40D1AAADBC}" name="Obj"/>
    <tableColumn id="4" xr3:uid="{C7A35B73-BF90-4EAD-AA21-7A4FEFD8D835}" name="Tag">
      <calculatedColumnFormula>"_" &amp; MotorOnOff[[#This Row],[Obj]]</calculatedColumnFormula>
    </tableColumn>
    <tableColumn id="5" xr3:uid="{17A6A5C4-E11C-46FC-B560-2480E3BCBB22}" name="Type"/>
    <tableColumn id="6" xr3:uid="{B44DA796-32E9-4899-B997-545CA69A54D6}" name="ID">
      <calculatedColumnFormula>ROW()-2</calculatedColumnFormula>
    </tableColumn>
    <tableColumn id="7" xr3:uid="{4D20D6A4-0CF8-4E51-9A68-8FB3967E7721}" name="Connection"/>
    <tableColumn id="8" xr3:uid="{8C5FA99F-04E4-4AD8-9F28-1B79D0E7F893}" name="PLC"/>
    <tableColumn id="9" xr3:uid="{CFA055B4-049E-4FAD-87AA-6AD956C12CBB}" name="Address">
      <calculatedColumnFormula>SUBSTITUTE(HMIPATH_MotorOnOFF,"$",MotorOnOff[[#This Row],[ID]])</calculatedColumnFormula>
    </tableColumn>
    <tableColumn id="10" xr3:uid="{099D3C6F-376C-44F1-A507-26E86623EA10}" name="Code">
      <calculatedColumnFormula array="1">FMotorOnOff(MotorOnOff[[#This Row],[Obj]],MotorOnOff[[#This Row],[System]])</calculatedColumnFormula>
    </tableColumn>
    <tableColumn id="13" xr3:uid="{2D200418-3215-4B7A-BFE0-906858817201}" name="CodeMux">
      <calculatedColumnFormula array="1">MUXMotorOnOff(MotorOnOff[[#This Row],[Obj]],MotorOnOff[[#This Row],[System]])</calculatedColumnFormula>
    </tableColumn>
    <tableColumn id="12" xr3:uid="{F5145769-9AA4-402F-992D-AFB1F4315E9A}" name="AMS">
      <calculatedColumnFormula array="1">MotorModAMS(MotorOnOff[[#This Row],[Tag]])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32144D-D22B-49BE-B1A9-8596E2409CC3}" name="ContPID" displayName="ContPID" ref="A1:S40" totalsRowShown="0">
  <autoFilter ref="A1:S40" xr:uid="{9E5C9093-D04E-49E7-BC08-759AD92857F8}"/>
  <tableColumns count="19">
    <tableColumn id="13" xr3:uid="{E17CDD83-2F3B-4C3C-8E83-2A519DA39113}" name="Process"/>
    <tableColumn id="1" xr3:uid="{FB05AD10-0CEE-43ED-A5F8-23EF10FD82A9}" name="RealTag"/>
    <tableColumn id="2" xr3:uid="{52F45205-7427-47FB-8AB8-97D56EF79E67}" name="Column1">
      <calculatedColumnFormula>RIGHT(ContPID[[#This Row],[RealTag]],LEN(ContPID[[#This Row],[RealTag]])-SEARCH("-",ContPID[[#This Row],[RealTag]],SEARCH("-",ContPID[[#This Row],[RealTag]])+1))</calculatedColumnFormula>
    </tableColumn>
    <tableColumn id="3" xr3:uid="{4968B588-F420-4C55-821D-FFE7ECCB37B1}" name="System" dataDxfId="11"/>
    <tableColumn id="19" xr3:uid="{B2F13A4D-0CAE-4AEE-ADBF-269371A62D49}" name="SubSystem" dataDxfId="10">
      <calculatedColumnFormula array="1">GetSystemFromTag(ContPID[[#This Row],[Obj]])</calculatedColumnFormula>
    </tableColumn>
    <tableColumn id="18" xr3:uid="{783E2736-7D2F-4AFD-88C8-4F634AB383A3}" name="Column2" dataDxfId="9">
      <calculatedColumnFormula array="1">GetSystemFromTag(ContPID[[#This Row],[Obj]])</calculatedColumnFormula>
    </tableColumn>
    <tableColumn id="4" xr3:uid="{3E0E83FC-3FCD-4D42-B137-FB511FBD9F22}" name="Obj">
      <calculatedColumnFormula>SUBSTITUTE(SUBSTITUTE(ContPID[[#This Row],[RealTag]],"-","_"),"-","_")</calculatedColumnFormula>
    </tableColumn>
    <tableColumn id="5" xr3:uid="{8219D3D6-B0EF-47D6-9E7C-800E57E81A6F}" name="Tag">
      <calculatedColumnFormula>"_" &amp;ContPID[[#This Row],[Obj]]</calculatedColumnFormula>
    </tableColumn>
    <tableColumn id="6" xr3:uid="{A3DFB253-7ECB-4B5B-8A4B-CB33ADC7C9B0}" name="Type"/>
    <tableColumn id="7" xr3:uid="{09E64CC3-CBB0-42DD-A61A-8B7D26BBB017}" name="ID">
      <calculatedColumnFormula>ROW()-2</calculatedColumnFormula>
    </tableColumn>
    <tableColumn id="8" xr3:uid="{FCFAAA7B-A4F5-4EDE-9A9F-D17C9E65EFCB}" name="PV"/>
    <tableColumn id="9" xr3:uid="{1ACE2AEE-77F8-4264-9709-B0C4FE4B8BB3}" name="Connection"/>
    <tableColumn id="10" xr3:uid="{B5ADA409-F49F-4C76-92CC-92C29F7FCCC8}" name="PLC"/>
    <tableColumn id="11" xr3:uid="{B50AD2B8-DA79-4BA7-AE2A-55DB1CC24A30}" name="Address">
      <calculatedColumnFormula>SUBSTITUTE(HMIPATH_ContPID,"$",ContPID[[#This Row],[ID]])</calculatedColumnFormula>
    </tableColumn>
    <tableColumn id="12" xr3:uid="{C3A0F339-5EF4-4874-BFC9-D50FBA54BB2F}" name="Code">
      <calculatedColumnFormula array="1">FContPID(ContPID[[#This Row],[Obj]],ContPID[[#This Row],[System]],ContPID[[#This Row],[PV]])</calculatedColumnFormula>
    </tableColumn>
    <tableColumn id="15" xr3:uid="{2D5A8BAE-4997-4292-8ACA-DCC05842504C}" name="CodeMux">
      <calculatedColumnFormula array="1">MUXContPID(ContPID[[#This Row],[Obj]],ContPID[[#This Row],[System]])</calculatedColumnFormula>
    </tableColumn>
    <tableColumn id="14" xr3:uid="{86F5FC2C-41E9-4E74-BD27-22411082310F}" name="AMS">
      <calculatedColumnFormula array="1">PidAMS(ContPID[[#This Row],[Tag]])</calculatedColumnFormula>
    </tableColumn>
    <tableColumn id="16" xr3:uid="{9187E40E-8DE7-47C2-9D20-E277B7DB34E1}" name="InOut2"/>
    <tableColumn id="17" xr3:uid="{0976BA78-2292-4EDA-8555-8998DE666074}" name="InOutType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344170C-AB6A-4594-A60A-67015650A00F}" name="Unit" displayName="Unit" ref="A1:L6" totalsRowShown="0">
  <autoFilter ref="A1:L6" xr:uid="{568BA465-4546-4AF2-A1F0-D03B0CA7A62A}"/>
  <tableColumns count="12">
    <tableColumn id="11" xr3:uid="{1E7876AE-9E7D-47AA-9E66-495323043DED}" name="Process"/>
    <tableColumn id="1" xr3:uid="{1B853964-85BC-4B74-B3BF-37E0DDA1AEB1}" name="RealTag">
      <calculatedColumnFormula>SUBSTITUTE(Unit[[#This Row],[Obj]],"_","-")</calculatedColumnFormula>
    </tableColumn>
    <tableColumn id="2" xr3:uid="{5DA5D4D5-C403-4C33-8643-4395459EF526}" name="System" dataDxfId="8"/>
    <tableColumn id="12" xr3:uid="{0E2C4B2E-4EFA-4067-989B-B84A66E33DF1}" name="SubSystem" dataDxfId="7"/>
    <tableColumn id="3" xr3:uid="{84BCBB4E-6828-4CAB-A4BB-65CE190A6A50}" name="Obj"/>
    <tableColumn id="4" xr3:uid="{8B7EB337-D44C-49AF-A37B-3F3554EA6DE9}" name="Tag">
      <calculatedColumnFormula>"_" &amp; Unit[[#This Row],[Obj]]</calculatedColumnFormula>
    </tableColumn>
    <tableColumn id="5" xr3:uid="{EA612377-DF24-4E05-8F94-5D76090F31E9}" name="Type"/>
    <tableColumn id="6" xr3:uid="{D89FD428-8583-44EC-A1A9-384B56C29BAC}" name="ID">
      <calculatedColumnFormula>ROW()-2</calculatedColumnFormula>
    </tableColumn>
    <tableColumn id="7" xr3:uid="{F2A11EEE-22D1-440F-8DE4-73E2FF199967}" name="Connection"/>
    <tableColumn id="8" xr3:uid="{F6CFDDEB-9D1A-4215-A2B3-55BBEAE5B7AA}" name="PLC"/>
    <tableColumn id="9" xr3:uid="{73AEB3FD-4F7A-45F8-AC59-205A43119B05}" name="Address">
      <calculatedColumnFormula>SUBSTITUTE(HMIPATH_Unit,"$",Unit[[#This Row],[ID]])</calculatedColumnFormula>
    </tableColumn>
    <tableColumn id="10" xr3:uid="{5078733B-CF4F-4EC7-894D-8011F5F9E731}" name="CodeMux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03F4503-1835-413F-B687-D2D26021D2FD}" name="TempManager" displayName="TempManager" ref="A1:L13" totalsRowShown="0">
  <autoFilter ref="A1:L13" xr:uid="{568BA465-4546-4AF2-A1F0-D03B0CA7A62A}"/>
  <tableColumns count="12">
    <tableColumn id="11" xr3:uid="{9F8B2F92-5F6C-4101-ACDE-441792537028}" name="Process"/>
    <tableColumn id="1" xr3:uid="{095E81CB-06F6-4EAD-93AE-1A30FB5F984F}" name="RealTag">
      <calculatedColumnFormula>SUBSTITUTE(TempManager[[#This Row],[Obj]],"_","-")</calculatedColumnFormula>
    </tableColumn>
    <tableColumn id="2" xr3:uid="{1ACE2B5A-F94A-42B9-BDA8-2CDF04A939F0}" name="System" dataDxfId="6"/>
    <tableColumn id="12" xr3:uid="{CF84CF30-A6CF-423E-8540-FDF1883B5C02}" name="SubSystem" dataDxfId="5">
      <calculatedColumnFormula array="1">GetSystemFromTag(TempManager[[#This Row],[Obj]])</calculatedColumnFormula>
    </tableColumn>
    <tableColumn id="3" xr3:uid="{F224E381-473E-4B9B-B80C-461D915A2F78}" name="Obj"/>
    <tableColumn id="4" xr3:uid="{E5957148-7619-4534-BF46-56A31B2C1B33}" name="Tag">
      <calculatedColumnFormula>"_" &amp; TempManager[[#This Row],[Obj]]</calculatedColumnFormula>
    </tableColumn>
    <tableColumn id="5" xr3:uid="{DBCCDE81-FDF9-4DBF-A1EF-0C7EF8E98AE0}" name="Type"/>
    <tableColumn id="6" xr3:uid="{DEC70C9F-1863-4ADD-87E2-3CA378BFF5FF}" name="ID">
      <calculatedColumnFormula>ROW()-2</calculatedColumnFormula>
    </tableColumn>
    <tableColumn id="7" xr3:uid="{F574891F-B61F-41F9-8DFA-AD6CBC4F23CD}" name="Connection"/>
    <tableColumn id="8" xr3:uid="{A878E02F-01B5-45F0-901F-442CF03CD0C6}" name="PLC"/>
    <tableColumn id="9" xr3:uid="{26E4F282-2FB2-4610-8DE9-85CB2ED34B2B}" name="Address">
      <calculatedColumnFormula>SUBSTITUTE(HMIPATH_RegPWM,"$",TempManager[[#This Row],[ID]])</calculatedColumnFormula>
    </tableColumn>
    <tableColumn id="10" xr3:uid="{7F3D6150-F316-47AA-9C46-E9721ABD5DC9}" name="CodeMux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32E9FE67-2469-4281-91DD-DF96F36C7F90}" name="IOL_QUERY40" displayName="IOL_QUERY40" ref="A1:H508" tableType="queryTable" totalsRowShown="0">
  <autoFilter ref="A1:H508" xr:uid="{32E9FE67-2469-4281-91DD-DF96F36C7F90}">
    <filterColumn colId="1">
      <customFilters>
        <customFilter val="*SU01*"/>
      </customFilters>
    </filterColumn>
  </autoFilter>
  <tableColumns count="8">
    <tableColumn id="1" xr3:uid="{BA619937-297D-4B22-9014-101B0062E0E4}" uniqueName="1" name="Column1" queryTableFieldId="26"/>
    <tableColumn id="2" xr3:uid="{D875717D-06B9-44E2-B922-7400514A01B0}" uniqueName="2" name="Column2" queryTableFieldId="27"/>
    <tableColumn id="3" xr3:uid="{D4EB079A-8C07-4402-A329-C047BE767C1D}" uniqueName="3" name="Column3" queryTableFieldId="28"/>
    <tableColumn id="4" xr3:uid="{ED242327-267A-437F-93DD-AE52C816734C}" uniqueName="4" name="Column4" queryTableFieldId="29"/>
    <tableColumn id="5" xr3:uid="{20F5F1BF-1E70-48E5-9771-2E684825AFC5}" uniqueName="5" name="Column5" queryTableFieldId="30"/>
    <tableColumn id="6" xr3:uid="{1B324E9D-176B-4B31-A5B3-22096EE2E075}" uniqueName="6" name="Column6" queryTableFieldId="31"/>
    <tableColumn id="7" xr3:uid="{E06241A6-DA31-408A-86C9-A95ED6FBFD98}" uniqueName="7" name="Column7" queryTableFieldId="32"/>
    <tableColumn id="8" xr3:uid="{4437023D-3DE7-416B-98AF-B9E5B25D9886}" uniqueName="8" name="Column8" queryTableFieldId="33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44AE06-E3D6-4B31-AB9D-703F428CC77F}" name="DataListForTables" displayName="DataListForTables" ref="A1:A10" totalsRowShown="0">
  <autoFilter ref="A1:A10" xr:uid="{4044AE06-E3D6-4B31-AB9D-703F428CC77F}"/>
  <tableColumns count="1">
    <tableColumn id="1" xr3:uid="{E5C8F0AE-F8AF-4F2D-BF98-1C0C63EA8BB1}" name="DataListForTable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4B6BB7A-8056-4091-9A97-7858D9387AE2}" name="DataListForTablesFB" displayName="DataListForTablesFB" ref="A14:A21" totalsRowShown="0">
  <autoFilter ref="A14:A21" xr:uid="{54B6BB7A-8056-4091-9A97-7858D9387AE2}"/>
  <tableColumns count="1">
    <tableColumn id="1" xr3:uid="{2E32EB92-2A42-4F60-AF0D-E23EA80D09CD}" name="DataListForTable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97A145F-5493-4D24-9DDB-5F7FE3DE0DBB}" name="AnalogueMeasureIO" displayName="AnalogueMeasureIO" ref="A1:C61" totalsRowShown="0">
  <autoFilter ref="A1:C61" xr:uid="{BCF394E2-C4A3-4071-899A-E862B71C1CC7}"/>
  <tableColumns count="3">
    <tableColumn id="1" xr3:uid="{34C8FB91-9279-409E-9137-14F8AC2341EE}" name="Tag"/>
    <tableColumn id="2" xr3:uid="{550BD52C-3313-4E44-B74D-5C8A6E7D3660}" name="measure">
      <calculatedColumnFormula>_xlfn.XLOOKUP(AnalogueMeasureIO[[#This Row],[Tag]],IOL_QUERY[Custom],IOL_QUERY[Column3],"")</calculatedColumnFormula>
    </tableColumn>
    <tableColumn id="3" xr3:uid="{1D8EA822-8B32-46F6-B0B3-F488E3363DC2}" name="calculatedMeasure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BBDBB1B-56FB-4AD2-9C0F-EAD12F62A2D7}" name="MotorModIO" displayName="MotorModIO" ref="A1:L10" totalsRowShown="0">
  <autoFilter ref="A1:L10" xr:uid="{7B849179-2A07-4869-BFEA-65FAB0E90489}"/>
  <tableColumns count="12">
    <tableColumn id="1" xr3:uid="{6ACB19C4-4C34-4913-842D-A67DAC09FC3A}" name="Tag"/>
    <tableColumn id="2" xr3:uid="{266DFB1A-9F54-4C1F-B222-B71C411E96B1}" name="supply">
      <calculatedColumnFormula>_xlfn.XLOOKUP(MotorModIO[[#This Row],[Tag]] &amp; "*" &amp; "SUPPLY",IOL_QUERY[Custom],IOL_QUERY[Column3],"",2)</calculatedColumnFormula>
    </tableColumn>
    <tableColumn id="3" xr3:uid="{12634A6E-3E90-4CA6-8966-DDE7144831D1}" name="serviceSwitch">
      <calculatedColumnFormula>_xlfn.XLOOKUP(MotorModIO[[#This Row],[Tag]] &amp; "*" &amp; "SERVICE",IOL_QUERY[Custom],IOL_QUERY[Column3],"",2)</calculatedColumnFormula>
    </tableColumn>
    <tableColumn id="4" xr3:uid="{26266A5B-E8C7-4B42-9E12-4509C1F5B496}" name="thermicFeedback">
      <calculatedColumnFormula>SUBSTITUTE(ECBLUE_TEMP,"$TAG$",MotorModIO[[#This Row],[Tag]])</calculatedColumnFormula>
    </tableColumn>
    <tableColumn id="6" xr3:uid="{AE2F1802-2E83-40A1-A0FB-FC0E8CF57A6D}" name="commError">
      <calculatedColumnFormula>SUBSTITUTE(COMM_ERROR,"$TAG$",MotorModIO[[#This Row],[Tag]])</calculatedColumnFormula>
    </tableColumn>
    <tableColumn id="7" xr3:uid="{FD85435C-2DD0-4ED7-97D1-5897DEC1BD1C}" name="fbRunning">
      <calculatedColumnFormula>"NOT " &amp; SUBSTITUTE(ECBLUE_RUN,"$TAG$",MotorModIO[[#This Row],[Tag]])</calculatedColumnFormula>
    </tableColumn>
    <tableColumn id="8" xr3:uid="{D420D4F1-781A-49DC-A2A4-B9142B8AFB6E}" name="driveError">
      <calculatedColumnFormula>SUBSTITUTE(ECBLUE_ERROR,"$TAG$",MotorModIO[[#This Row],[Tag]])</calculatedColumnFormula>
    </tableColumn>
    <tableColumn id="5" xr3:uid="{46A913E4-9BF6-4601-AD87-FCB428E4C59A}" name="feedbackRaw"/>
    <tableColumn id="9" xr3:uid="{7FE62754-E324-4C33-B95B-E55CDFA5CB30}" name="feedback">
      <calculatedColumnFormula>SUBSTITUTE(ECBLUE_SPEED,"$TAG$",MotorModIO[[#This Row],[Tag]])</calculatedColumnFormula>
    </tableColumn>
    <tableColumn id="10" xr3:uid="{1C114391-B0BA-45F5-AD00-4C1212CDF2A8}" name="startCommand">
      <calculatedColumnFormula>SUBSTITUTE(ECBLUE_START,"$TAG$",MotorModIO[[#This Row],[Tag]])</calculatedColumnFormula>
    </tableColumn>
    <tableColumn id="12" xr3:uid="{B9621011-770C-414F-BF83-6F881FF997F6}" name="setpoint">
      <calculatedColumnFormula>SUBSTITUTE(ECBLUE_REFERENCE,"$TAG$",MotorModIO[[#This Row],[Tag]])</calculatedColumnFormula>
    </tableColumn>
    <tableColumn id="11" xr3:uid="{0220B9E1-FF98-450F-84C7-5434D17EDD72}" name="setpointRaw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FBA816F-C8BB-4485-AD2F-6A46A5CD483B}" name="ValveModulatingIO" displayName="ValveModulatingIO" ref="A1:I53" totalsRowShown="0">
  <autoFilter ref="A1:I53" xr:uid="{2460F6FC-04CC-4724-A13B-142BC8952019}"/>
  <tableColumns count="9">
    <tableColumn id="1" xr3:uid="{CDEED055-0816-4ECE-B12A-804C4DC617A4}" name="Tag"/>
    <tableColumn id="2" xr3:uid="{855EBCCE-1F97-46C8-825D-87A33B5DB936}" name="supply"/>
    <tableColumn id="3" xr3:uid="{32905AF4-A8A9-464C-A3EE-6B2BDD8FE7E8}" name="comError">
      <calculatedColumnFormula>SUBSTITUTE(COMM_ERROR,"$TAG$",ValveModulatingIO[[#This Row],[Tag]])</calculatedColumnFormula>
    </tableColumn>
    <tableColumn id="5" xr3:uid="{23F6D0D8-EC3C-43B1-834A-EB27D7937364}" name="fbOpen">
      <calculatedColumnFormula array="1">SUBSTITUTE(COMM_OPEN,"$TAG$",ValveModulatingIO[[#This Row],[Tag]])</calculatedColumnFormula>
    </tableColumn>
    <tableColumn id="6" xr3:uid="{5AF8F58D-1FA3-4B43-AB56-B3C4F516494F}" name="fbClosed">
      <calculatedColumnFormula>SUBSTITUTE(COMM_CLOSED,"$TAG$",ValveModulatingIO[[#This Row],[Tag]])</calculatedColumnFormula>
    </tableColumn>
    <tableColumn id="9" xr3:uid="{B9CD3E5F-2236-44B7-BE45-337367EC1E1C}" name="feedback">
      <calculatedColumnFormula>SUBSTITUTE(CAV_FEEDBACK,"$TAG$",ValveModulatingIO[[#This Row],[Tag]])</calculatedColumnFormula>
    </tableColumn>
    <tableColumn id="4" xr3:uid="{63F6D43B-D404-4E41-94E8-A88A6BB9945F}" name="reference">
      <calculatedColumnFormula>SUBSTITUTE(CAV_REFERENCE,"$TAG$",ValveModulatingIO[[#This Row],[Tag]])</calculatedColumnFormula>
    </tableColumn>
    <tableColumn id="7" xr3:uid="{04216BA2-EBF7-4EF4-A73C-9A3A039B38CC}" name="feedbackRaw"/>
    <tableColumn id="8" xr3:uid="{17DFE498-0CAE-4025-A9DB-915C46225F52}" name="referenceRaw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C5BCE65-ACA6-4291-A3D6-EB7F732C2896}" name="MotorOnOffIO" displayName="MotorOnOffIO" ref="A1:I2" insertRow="1" totalsRowShown="0">
  <autoFilter ref="A1:I2" xr:uid="{9B00A533-C50E-4712-99CF-1BA7E37D4089}"/>
  <tableColumns count="9">
    <tableColumn id="1" xr3:uid="{E4FFB51E-8E15-4865-8B7D-CE44A71995E0}" name="Tag"/>
    <tableColumn id="5" xr3:uid="{0835D50F-8A6E-4A6A-B82D-99B0ED69F953}" name="supply"/>
    <tableColumn id="2" xr3:uid="{E14FBCC9-B0FF-40D1-9BAA-B04F115DA1DE}" name="serviceSwitch"/>
    <tableColumn id="4" xr3:uid="{8F01E5CB-29BC-4F3C-9466-83F5FB996563}" name="thermicFeedback"/>
    <tableColumn id="3" xr3:uid="{BB7D847F-9AF2-4ECC-9075-8591EF437ABC}" name="trip"/>
    <tableColumn id="6" xr3:uid="{C63AF126-FB98-49EC-BCB9-F9D59A31B698}" name="local"/>
    <tableColumn id="7" xr3:uid="{6CFA0FCA-82EA-41BA-B8EC-3FED8D20ABCD}" name="localStart"/>
    <tableColumn id="8" xr3:uid="{725BF094-9465-46A9-AC9A-F8C275D8C522}" name="fbRunning"/>
    <tableColumn id="9" xr3:uid="{0C8DD583-F286-4CE5-8470-9896E0764517}" name="startCommand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89984C8-0491-4177-A9D9-221BBBA771EA}" name="IOL_QUERY" displayName="IOL_QUERY" ref="A1:P229" tableType="queryTable" totalsRowShown="0">
  <autoFilter ref="A1:P229" xr:uid="{FBCAA61E-B140-4C9E-BAF4-C0865180C3C0}"/>
  <tableColumns count="16">
    <tableColumn id="1" xr3:uid="{A62D74E6-6EDB-4C66-8A46-A698C64EECDC}" uniqueName="1" name="Column1" queryTableFieldId="26"/>
    <tableColumn id="2" xr3:uid="{D175AFE0-001C-4E1F-A9E9-8B8DF67F5D21}" uniqueName="2" name="Column2" queryTableFieldId="27"/>
    <tableColumn id="3" xr3:uid="{AAD8753B-12E3-4787-9E8F-0DB9FE261E68}" uniqueName="3" name="Column3" queryTableFieldId="28"/>
    <tableColumn id="16" xr3:uid="{3EA0AA0F-E322-4F7A-95F4-6F694E034CC1}" uniqueName="16" name="Custom" queryTableFieldId="41"/>
    <tableColumn id="4" xr3:uid="{9C197ACC-8EE4-41F3-9443-6F3D300B3CF5}" uniqueName="4" name="Column4" queryTableFieldId="29"/>
    <tableColumn id="5" xr3:uid="{DCD2B4F5-B04E-47A6-A4A2-5D94A924D19F}" uniqueName="5" name="Column5" queryTableFieldId="30"/>
    <tableColumn id="6" xr3:uid="{8DC2441E-0157-46CC-BFFF-632BEB62AF2F}" uniqueName="6" name="Column6" queryTableFieldId="31"/>
    <tableColumn id="7" xr3:uid="{9A97AED3-6C9F-4D05-B191-894BB95DB7DB}" uniqueName="7" name="Column7" queryTableFieldId="32"/>
    <tableColumn id="8" xr3:uid="{EBD59B32-DE58-4ABC-B165-3A83934EC2CD}" uniqueName="8" name="Column8" queryTableFieldId="33"/>
    <tableColumn id="9" xr3:uid="{2D4EA096-25A9-4F16-8CD7-679220B4E8BC}" uniqueName="9" name="Column9" queryTableFieldId="34"/>
    <tableColumn id="10" xr3:uid="{A77E005A-BF90-4E17-8FA8-409F268E0548}" uniqueName="10" name="Column10" queryTableFieldId="35"/>
    <tableColumn id="11" xr3:uid="{9710D156-4BB2-4B20-9EB8-263755FD8702}" uniqueName="11" name="Column11" queryTableFieldId="36"/>
    <tableColumn id="12" xr3:uid="{32503DF1-1A0E-4B4D-AE4E-903478D6F7F3}" uniqueName="12" name="Column12" queryTableFieldId="37"/>
    <tableColumn id="13" xr3:uid="{F3E5D8A7-4043-4FBC-900B-27B9FFD65F46}" uniqueName="13" name="Column13" queryTableFieldId="38"/>
    <tableColumn id="14" xr3:uid="{09CE3A12-F632-49DA-BA69-367BCE2D5439}" uniqueName="14" name="Column14" queryTableFieldId="39"/>
    <tableColumn id="15" xr3:uid="{D34581A0-6193-45A1-8464-3F4EC610EEFE}" uniqueName="15" name="Column15" queryTableFieldId="40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BBE697B-2556-4781-B200-B06DC38B430F}" name="ValveOnOffIO" displayName="ValveOnOffIO" ref="A1:E9" totalsRowShown="0">
  <autoFilter ref="A1:E9" xr:uid="{2DCE8606-C0E0-4AC1-B46C-EABB53ADD4F7}"/>
  <tableColumns count="5">
    <tableColumn id="1" xr3:uid="{67E09460-3036-4DDA-B2F1-346397FDA396}" name="Tag"/>
    <tableColumn id="2" xr3:uid="{531C8DEF-0733-48CB-8164-CAF72309C6EF}" name="supply"/>
    <tableColumn id="4" xr3:uid="{E8BCFA9D-3B93-4EFD-BC3A-ACEB095C60F8}" name="fbOpen">
      <calculatedColumnFormula>_xlfn.XLOOKUP(ValveOnOffIO[[#This Row],[Tag]] &amp; "*" &amp; "OPEN",IOL_QUERY[Custom],IOL_QUERY[Column3],"",2)</calculatedColumnFormula>
    </tableColumn>
    <tableColumn id="5" xr3:uid="{11B97C94-A0D1-44ED-9A59-FCE145BBCF71}" name="fbClosed">
      <calculatedColumnFormula>_xlfn.XLOOKUP(ValveOnOffIO[[#This Row],[Tag]] &amp; "*" &amp; "CLOSED",IOL_QUERY[Custom],IOL_QUERY[Column3],"",2)</calculatedColumnFormula>
    </tableColumn>
    <tableColumn id="3" xr3:uid="{F031293D-E02C-4322-A9E1-6DC22D54B947}" name="openCommand">
      <calculatedColumnFormula>_xlfn.XLOOKUP(ValveOnOffIO[[#This Row],[Tag]] &amp; "*" &amp; "CMD",IOL_QUERY[Custom],IOL_QUERY[Column3],"",2)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B6D2A67-AEEA-4F04-8A2E-E46E0EBB1D36}" name="DigitalInputIO" displayName="DigitalInputIO" ref="A1:B31" totalsRowShown="0">
  <autoFilter ref="A1:B31" xr:uid="{28BC2131-8EBE-406C-AA4F-6D5BBEF81E84}"/>
  <tableColumns count="2">
    <tableColumn id="1" xr3:uid="{B6129218-FE40-44D1-B70D-EB84C7DD5A39}" name="Tag"/>
    <tableColumn id="2" xr3:uid="{A21BF555-7F02-417A-A1A0-F78804EA89F0}" name="value">
      <calculatedColumnFormula>_xlfn.XLOOKUP(DigitalInputIO[[#This Row],[Tag]] &amp; "*" &amp; "",IOL_QUERY[Custom],IOL_QUERY[Column3],"",2)</calculatedColumnFormula>
    </tableColumn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948C755-1811-4653-B3CD-DCE155C585A6}" name="RegPWMIO" displayName="RegPWMIO" ref="A1:B14" totalsRowShown="0">
  <autoFilter ref="A1:B14" xr:uid="{443D6B07-877B-426C-9E8A-AAFD63DFB9DD}"/>
  <tableColumns count="2">
    <tableColumn id="1" xr3:uid="{86988DEB-29F2-4A35-9C02-8F45F5312D86}" name="Tag"/>
    <tableColumn id="2" xr3:uid="{525BD729-3FF8-4482-9B8A-DE937377F329}" name="pulse">
      <calculatedColumnFormula>_xlfn.XLOOKUP(Table36[[#This Row],[Column1]] &amp;"*REG",#REF!,#REF!,"",2)</calculatedColumnFormula>
    </tableColumn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E4550C5-70C3-44B1-AC43-054C72264F9B}" name="Table36" displayName="Table36" ref="C1:C14" totalsRowShown="0" dataDxfId="4">
  <autoFilter ref="C1:C14" xr:uid="{6EA27E17-D1D7-4314-AF33-671966F1084D}"/>
  <tableColumns count="1">
    <tableColumn id="1" xr3:uid="{8CEE71DB-9CD9-4CDE-A426-E65EF0960131}" name="Column1" dataDxfId="3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774E7B-B275-4847-B234-FD06CA971425}" name="Table8_22038" displayName="Table8_22038" ref="A1:C129" tableType="queryTable" totalsRowShown="0">
  <autoFilter ref="A1:C129" xr:uid="{226FD9FB-2A37-4AFC-B4F0-E6DB17858418}"/>
  <sortState xmlns:xlrd2="http://schemas.microsoft.com/office/spreadsheetml/2017/richdata2" ref="A2:C129">
    <sortCondition ref="A1:A129"/>
  </sortState>
  <tableColumns count="3">
    <tableColumn id="1" xr3:uid="{EB377F96-A80E-42BC-8A42-37FBC2CBDB93}" uniqueName="1" name="RealTag" queryTableFieldId="1"/>
    <tableColumn id="4" xr3:uid="{0BC7EC71-F754-41AE-A149-2A4AB82E1ECA}" uniqueName="4" name="Custom" queryTableFieldId="15"/>
    <tableColumn id="2" xr3:uid="{A378760C-B3B2-4649-95BE-6664C52480FE}" uniqueName="2" name="System" queryTableFieldId="14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C68E60F-B62B-4467-AC02-9366887D732C}" name="Table8_2203839" displayName="Table8_2203839" ref="E1:J9" tableType="queryTable" totalsRowShown="0">
  <autoFilter ref="E1:J9" xr:uid="{38D0F094-8539-42FF-80D3-F9754B6016EB}"/>
  <sortState xmlns:xlrd2="http://schemas.microsoft.com/office/spreadsheetml/2017/richdata2" ref="E2:J9">
    <sortCondition ref="E1:E9"/>
  </sortState>
  <tableColumns count="6">
    <tableColumn id="1" xr3:uid="{90676505-6AE0-4330-B3BA-5EF88D31A4D2}" uniqueName="1" name="RealTag" queryTableFieldId="1"/>
    <tableColumn id="4" xr3:uid="{B8EA07AB-E344-40E4-9FCA-8D77F9F01EE9}" uniqueName="4" name="Custom" queryTableFieldId="15"/>
    <tableColumn id="6" xr3:uid="{2B9332ED-836B-47A3-B10E-5220FAEDB71C}" uniqueName="6" name="SubSystem" queryTableFieldId="21"/>
    <tableColumn id="5" xr3:uid="{21B6671B-C85B-4DDD-AFAE-D8937425DD47}" uniqueName="5" name="Address" queryTableFieldId="17"/>
    <tableColumn id="3" xr3:uid="{8A5B2F9A-3A2E-48BD-8727-E02FF0C27B5B}" uniqueName="3" name="CodeMux" queryTableFieldId="19"/>
    <tableColumn id="2" xr3:uid="{9B2F8B87-8EE3-4FC2-86D9-B9E07D8510D3}" uniqueName="2" name="System" queryTableFieldId="14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3B26C37-BB2A-4105-8E4E-DF5CEBD2A7B2}" name="Table26" displayName="Table26" ref="A1:C60" totalsRowShown="0">
  <autoFilter ref="A1:C60" xr:uid="{D3A0BB92-C901-4D48-81A3-26F4D978FDC8}">
    <filterColumn colId="0">
      <customFilters>
        <customFilter operator="notEqual" val=" "/>
      </customFilters>
    </filterColumn>
  </autoFilter>
  <tableColumns count="3">
    <tableColumn id="1" xr3:uid="{B3890803-C2D6-4815-A75A-D3801F9DAA02}" name="Column1"/>
    <tableColumn id="2" xr3:uid="{553A39BB-FF18-43B0-9E8E-A23ECBC3BA8C}" name="Column2"/>
    <tableColumn id="3" xr3:uid="{00CB3E18-6539-4410-BB4B-530A0D082114}" name="Column3">
      <calculatedColumnFormula>Table26[[#This Row],[Column1]] &amp; "-" &amp; Table26[[#This Row],[Column2]]</calculatedColumnFormula>
    </tableColumn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8B24545-7C16-439B-AF9B-85CE54C28A9C}" name="Table8_225" displayName="Table8_225" ref="A1:F125" tableType="queryTable" totalsRowShown="0">
  <autoFilter ref="A1:F125" xr:uid="{0D041922-BF8D-4132-980E-693F356714F6}"/>
  <tableColumns count="6">
    <tableColumn id="3" xr3:uid="{196283A0-0A4E-40F2-970A-87009206C9A0}" uniqueName="3" name="Obj" queryTableFieldId="3"/>
    <tableColumn id="8" xr3:uid="{0F436C4C-D96C-4A93-812C-8BF5034578E6}" uniqueName="8" name="ID" queryTableFieldId="14"/>
    <tableColumn id="1" xr3:uid="{54050676-CA0F-43BD-AEC9-161C2FEB4CFD}" uniqueName="1" name="Connection" queryTableFieldId="24"/>
    <tableColumn id="2" xr3:uid="{5DA43D7B-BE51-44A1-9B8D-C952F1003F04}" uniqueName="2" name="PLC" queryTableFieldId="25"/>
    <tableColumn id="6" xr3:uid="{E8C21993-0483-4BBE-8D41-138ED248B228}" uniqueName="6" name="Type" queryTableFieldId="13"/>
    <tableColumn id="11" xr3:uid="{11760E3B-EFB4-4F2B-9983-1E17B303ECAE}" uniqueName="11" name="Custom" queryTableFieldId="2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AB61DFB-2BDF-4DE3-819F-FEFD8FE6503B}" name="RegPWM" displayName="RegPWM" ref="A1:K16" totalsRowShown="0">
  <autoFilter ref="A1:K16" xr:uid="{568BA465-4546-4AF2-A1F0-D03B0CA7A62A}"/>
  <tableColumns count="11">
    <tableColumn id="11" xr3:uid="{21DECFB4-5834-44DC-804C-2A3D3CDF8C19}" name="Process"/>
    <tableColumn id="1" xr3:uid="{A2F24D10-A992-487B-B21F-D34973CE8F8A}" name="RealTag">
      <calculatedColumnFormula>SUBSTITUTE(RegPWM[[#This Row],[Obj]],"_","-")</calculatedColumnFormula>
    </tableColumn>
    <tableColumn id="2" xr3:uid="{3C860723-75B6-4F00-9457-08A68F5D8FFC}" name="System" dataDxfId="2"/>
    <tableColumn id="3" xr3:uid="{B45C42E7-61EC-44AC-A51B-19960924A8F0}" name="Obj"/>
    <tableColumn id="4" xr3:uid="{1040A224-42B7-4450-97F1-EF1935FE76BD}" name="Tag">
      <calculatedColumnFormula>"_" &amp; RegPWM[[#This Row],[Obj]]</calculatedColumnFormula>
    </tableColumn>
    <tableColumn id="5" xr3:uid="{158A2383-931F-4B98-A7AE-8D49CA4E8750}" name="Type"/>
    <tableColumn id="6" xr3:uid="{9B8F0678-DBE1-4C12-9F48-32147400BAD3}" name="ID">
      <calculatedColumnFormula>ROW()-2</calculatedColumnFormula>
    </tableColumn>
    <tableColumn id="7" xr3:uid="{9F14C711-8A25-44C8-921E-417BB722B9C7}" name="Connection"/>
    <tableColumn id="8" xr3:uid="{C566864B-82FC-4E25-966C-F889F0777363}" name="PLC"/>
    <tableColumn id="9" xr3:uid="{E9C8948B-0311-4926-A5DF-486F47923CFA}" name="Address">
      <calculatedColumnFormula>SUBSTITUTE(HMIPATH_MotorOnOFF,"$",RegPWM[[#This Row],[Tag]])</calculatedColumnFormula>
    </tableColumn>
    <tableColumn id="10" xr3:uid="{7A5927D5-2804-4D02-A806-83DF5B7A2F79}" name="Code">
      <calculatedColumnFormula array="1">FMotorOnOff(RegPWM[[#This Row],[Obj]],RegPWM[[#This Row],[Tag]])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B56F1-016A-41C2-8BC8-5FF7075A6CBC}">
  <sheetPr codeName="Sheet14">
    <tabColor theme="9" tint="0.79998168889431442"/>
  </sheetPr>
  <dimension ref="A1:K333"/>
  <sheetViews>
    <sheetView topLeftCell="A171" zoomScale="80" zoomScaleNormal="80" workbookViewId="0">
      <selection activeCell="H174" sqref="H174:H199"/>
    </sheetView>
  </sheetViews>
  <sheetFormatPr defaultRowHeight="16.5" x14ac:dyDescent="0.3"/>
  <cols>
    <col min="1" max="1" width="10" bestFit="1" customWidth="1"/>
    <col min="2" max="2" width="18.5" bestFit="1" customWidth="1"/>
    <col min="3" max="3" width="22.875" bestFit="1" customWidth="1"/>
    <col min="4" max="4" width="18.5" bestFit="1" customWidth="1"/>
    <col min="5" max="5" width="22.125" bestFit="1" customWidth="1"/>
    <col min="6" max="6" width="18.375" bestFit="1" customWidth="1"/>
    <col min="7" max="7" width="10" bestFit="1" customWidth="1"/>
    <col min="8" max="8" width="18.375" bestFit="1" customWidth="1"/>
    <col min="9" max="9" width="22.875" bestFit="1" customWidth="1"/>
    <col min="10" max="10" width="18.375" bestFit="1" customWidth="1"/>
    <col min="11" max="11" width="22.125" bestFit="1" customWidth="1"/>
    <col min="12" max="12" width="13.5" bestFit="1" customWidth="1"/>
    <col min="13" max="13" width="12.625" bestFit="1" customWidth="1"/>
    <col min="14" max="14" width="7.25" bestFit="1" customWidth="1"/>
    <col min="15" max="15" width="81" customWidth="1"/>
    <col min="16" max="16" width="8.5" bestFit="1" customWidth="1"/>
    <col min="17" max="17" width="20.875" bestFit="1" customWidth="1"/>
    <col min="18" max="18" width="81" bestFit="1" customWidth="1"/>
  </cols>
  <sheetData>
    <row r="1" spans="1:11" x14ac:dyDescent="0.3">
      <c r="A1" t="s">
        <v>132</v>
      </c>
      <c r="B1" t="s">
        <v>5</v>
      </c>
      <c r="C1" t="s">
        <v>141</v>
      </c>
      <c r="D1" t="s">
        <v>195</v>
      </c>
      <c r="E1" t="s">
        <v>1774</v>
      </c>
      <c r="G1" t="s">
        <v>132</v>
      </c>
      <c r="H1" t="s">
        <v>5</v>
      </c>
      <c r="I1" t="s">
        <v>141</v>
      </c>
      <c r="J1" t="s">
        <v>195</v>
      </c>
      <c r="K1" t="s">
        <v>1774</v>
      </c>
    </row>
    <row r="2" spans="1:11" x14ac:dyDescent="0.3">
      <c r="A2" t="s">
        <v>1442</v>
      </c>
      <c r="B2" t="s">
        <v>1776</v>
      </c>
      <c r="C2" t="s">
        <v>142</v>
      </c>
      <c r="D2" t="s">
        <v>1776</v>
      </c>
      <c r="E2" t="s">
        <v>1658</v>
      </c>
      <c r="G2" t="s">
        <v>1443</v>
      </c>
      <c r="H2" t="s">
        <v>1784</v>
      </c>
      <c r="I2" t="s">
        <v>142</v>
      </c>
      <c r="J2" t="s">
        <v>1784</v>
      </c>
      <c r="K2" t="s">
        <v>1658</v>
      </c>
    </row>
    <row r="3" spans="1:11" x14ac:dyDescent="0.3">
      <c r="A3" t="s">
        <v>1442</v>
      </c>
      <c r="B3" t="s">
        <v>1780</v>
      </c>
      <c r="C3" t="s">
        <v>142</v>
      </c>
      <c r="D3" t="s">
        <v>1780</v>
      </c>
      <c r="E3" t="s">
        <v>1658</v>
      </c>
      <c r="G3" t="s">
        <v>1443</v>
      </c>
      <c r="H3" t="s">
        <v>1788</v>
      </c>
      <c r="I3" t="s">
        <v>142</v>
      </c>
      <c r="J3" t="s">
        <v>1788</v>
      </c>
      <c r="K3" t="s">
        <v>1658</v>
      </c>
    </row>
    <row r="4" spans="1:11" x14ac:dyDescent="0.3">
      <c r="A4" t="s">
        <v>1442</v>
      </c>
      <c r="B4" t="s">
        <v>1792</v>
      </c>
      <c r="C4" t="s">
        <v>142</v>
      </c>
      <c r="D4" t="s">
        <v>1792</v>
      </c>
      <c r="E4" t="s">
        <v>1658</v>
      </c>
      <c r="G4" t="s">
        <v>1443</v>
      </c>
      <c r="H4" t="s">
        <v>1804</v>
      </c>
      <c r="I4" t="s">
        <v>142</v>
      </c>
      <c r="J4" t="s">
        <v>1804</v>
      </c>
      <c r="K4" t="s">
        <v>1658</v>
      </c>
    </row>
    <row r="5" spans="1:11" x14ac:dyDescent="0.3">
      <c r="A5" t="s">
        <v>1442</v>
      </c>
      <c r="B5" t="s">
        <v>1796</v>
      </c>
      <c r="C5" t="s">
        <v>142</v>
      </c>
      <c r="D5" t="s">
        <v>1796</v>
      </c>
      <c r="E5" t="s">
        <v>1658</v>
      </c>
      <c r="G5" t="s">
        <v>1443</v>
      </c>
      <c r="H5" t="s">
        <v>1808</v>
      </c>
      <c r="I5" t="s">
        <v>142</v>
      </c>
      <c r="J5" t="s">
        <v>1808</v>
      </c>
      <c r="K5" t="s">
        <v>1658</v>
      </c>
    </row>
    <row r="6" spans="1:11" x14ac:dyDescent="0.3">
      <c r="A6" t="s">
        <v>1442</v>
      </c>
      <c r="B6" t="s">
        <v>1800</v>
      </c>
      <c r="C6" t="s">
        <v>142</v>
      </c>
      <c r="D6" t="s">
        <v>1800</v>
      </c>
      <c r="E6" t="s">
        <v>1658</v>
      </c>
      <c r="G6" t="s">
        <v>1443</v>
      </c>
      <c r="H6" t="s">
        <v>1892</v>
      </c>
      <c r="I6" t="s">
        <v>142</v>
      </c>
      <c r="J6" t="s">
        <v>1892</v>
      </c>
      <c r="K6" t="s">
        <v>1658</v>
      </c>
    </row>
    <row r="7" spans="1:11" x14ac:dyDescent="0.3">
      <c r="A7" t="s">
        <v>1442</v>
      </c>
      <c r="B7" t="s">
        <v>1812</v>
      </c>
      <c r="C7" t="s">
        <v>142</v>
      </c>
      <c r="D7" t="s">
        <v>1812</v>
      </c>
      <c r="E7" t="s">
        <v>1658</v>
      </c>
      <c r="G7" t="s">
        <v>1443</v>
      </c>
      <c r="H7" t="s">
        <v>1896</v>
      </c>
      <c r="I7" t="s">
        <v>142</v>
      </c>
      <c r="J7" t="s">
        <v>1896</v>
      </c>
      <c r="K7" t="s">
        <v>1658</v>
      </c>
    </row>
    <row r="8" spans="1:11" x14ac:dyDescent="0.3">
      <c r="A8" t="s">
        <v>1442</v>
      </c>
      <c r="B8" t="s">
        <v>1816</v>
      </c>
      <c r="C8" t="s">
        <v>142</v>
      </c>
      <c r="D8" t="s">
        <v>1816</v>
      </c>
      <c r="E8" t="s">
        <v>1658</v>
      </c>
      <c r="G8" t="s">
        <v>1443</v>
      </c>
      <c r="H8" t="s">
        <v>1900</v>
      </c>
      <c r="I8" t="s">
        <v>142</v>
      </c>
      <c r="J8" t="s">
        <v>1900</v>
      </c>
      <c r="K8" t="s">
        <v>1658</v>
      </c>
    </row>
    <row r="9" spans="1:11" x14ac:dyDescent="0.3">
      <c r="A9" t="s">
        <v>1442</v>
      </c>
      <c r="B9" t="s">
        <v>1820</v>
      </c>
      <c r="C9" t="s">
        <v>142</v>
      </c>
      <c r="D9" t="s">
        <v>1820</v>
      </c>
      <c r="E9" t="s">
        <v>1658</v>
      </c>
      <c r="G9" t="s">
        <v>1443</v>
      </c>
      <c r="H9" t="s">
        <v>1904</v>
      </c>
      <c r="I9" t="s">
        <v>142</v>
      </c>
      <c r="J9" t="s">
        <v>1904</v>
      </c>
      <c r="K9" t="s">
        <v>1658</v>
      </c>
    </row>
    <row r="10" spans="1:11" x14ac:dyDescent="0.3">
      <c r="A10" t="s">
        <v>1442</v>
      </c>
      <c r="B10" t="s">
        <v>1824</v>
      </c>
      <c r="C10" t="s">
        <v>142</v>
      </c>
      <c r="D10" t="s">
        <v>1824</v>
      </c>
      <c r="E10" t="s">
        <v>1658</v>
      </c>
      <c r="G10" t="s">
        <v>1443</v>
      </c>
      <c r="H10" t="s">
        <v>1912</v>
      </c>
      <c r="I10" t="s">
        <v>142</v>
      </c>
      <c r="J10" t="s">
        <v>1912</v>
      </c>
      <c r="K10" t="s">
        <v>1658</v>
      </c>
    </row>
    <row r="11" spans="1:11" x14ac:dyDescent="0.3">
      <c r="A11" t="s">
        <v>1442</v>
      </c>
      <c r="B11" t="s">
        <v>1828</v>
      </c>
      <c r="C11" t="s">
        <v>142</v>
      </c>
      <c r="D11" t="s">
        <v>1828</v>
      </c>
      <c r="E11" t="s">
        <v>1658</v>
      </c>
      <c r="G11" t="s">
        <v>1443</v>
      </c>
      <c r="H11" t="s">
        <v>1960</v>
      </c>
      <c r="I11" t="s">
        <v>142</v>
      </c>
      <c r="J11" t="s">
        <v>1960</v>
      </c>
      <c r="K11" t="s">
        <v>1658</v>
      </c>
    </row>
    <row r="12" spans="1:11" x14ac:dyDescent="0.3">
      <c r="A12" t="s">
        <v>1442</v>
      </c>
      <c r="B12" t="s">
        <v>1832</v>
      </c>
      <c r="C12" t="s">
        <v>142</v>
      </c>
      <c r="D12" t="s">
        <v>1832</v>
      </c>
      <c r="E12" t="s">
        <v>1658</v>
      </c>
      <c r="G12" t="s">
        <v>1443</v>
      </c>
      <c r="H12" t="s">
        <v>1996</v>
      </c>
      <c r="I12" t="s">
        <v>142</v>
      </c>
      <c r="J12" t="s">
        <v>1996</v>
      </c>
      <c r="K12" t="s">
        <v>1658</v>
      </c>
    </row>
    <row r="13" spans="1:11" x14ac:dyDescent="0.3">
      <c r="A13" t="s">
        <v>1442</v>
      </c>
      <c r="B13" t="s">
        <v>1836</v>
      </c>
      <c r="C13" t="s">
        <v>142</v>
      </c>
      <c r="D13" t="s">
        <v>1836</v>
      </c>
      <c r="E13" t="s">
        <v>1658</v>
      </c>
      <c r="G13" t="s">
        <v>1443</v>
      </c>
      <c r="H13" t="s">
        <v>2000</v>
      </c>
      <c r="I13" t="s">
        <v>142</v>
      </c>
      <c r="J13" t="s">
        <v>2000</v>
      </c>
      <c r="K13" t="s">
        <v>1658</v>
      </c>
    </row>
    <row r="14" spans="1:11" x14ac:dyDescent="0.3">
      <c r="A14" t="s">
        <v>1442</v>
      </c>
      <c r="B14" t="s">
        <v>1840</v>
      </c>
      <c r="C14" t="s">
        <v>142</v>
      </c>
      <c r="D14" t="s">
        <v>1840</v>
      </c>
      <c r="E14" t="s">
        <v>1658</v>
      </c>
      <c r="G14" t="s">
        <v>1443</v>
      </c>
      <c r="H14" t="s">
        <v>2040</v>
      </c>
      <c r="I14" t="s">
        <v>144</v>
      </c>
      <c r="J14" t="s">
        <v>2040</v>
      </c>
      <c r="K14" t="s">
        <v>1659</v>
      </c>
    </row>
    <row r="15" spans="1:11" x14ac:dyDescent="0.3">
      <c r="A15" t="s">
        <v>1442</v>
      </c>
      <c r="B15" t="s">
        <v>1844</v>
      </c>
      <c r="C15" t="s">
        <v>142</v>
      </c>
      <c r="D15" t="s">
        <v>1844</v>
      </c>
      <c r="E15" t="s">
        <v>1658</v>
      </c>
      <c r="G15" t="s">
        <v>1443</v>
      </c>
      <c r="H15" t="s">
        <v>2044</v>
      </c>
      <c r="I15" t="s">
        <v>144</v>
      </c>
      <c r="J15" t="s">
        <v>2044</v>
      </c>
      <c r="K15" t="s">
        <v>1659</v>
      </c>
    </row>
    <row r="16" spans="1:11" x14ac:dyDescent="0.3">
      <c r="A16" t="s">
        <v>1442</v>
      </c>
      <c r="B16" t="s">
        <v>1848</v>
      </c>
      <c r="C16" t="s">
        <v>142</v>
      </c>
      <c r="D16" t="s">
        <v>1848</v>
      </c>
      <c r="E16" t="s">
        <v>1658</v>
      </c>
      <c r="G16" t="s">
        <v>1443</v>
      </c>
      <c r="H16" t="s">
        <v>2064</v>
      </c>
      <c r="I16" t="s">
        <v>145</v>
      </c>
      <c r="J16" t="s">
        <v>2064</v>
      </c>
      <c r="K16" t="s">
        <v>1660</v>
      </c>
    </row>
    <row r="17" spans="1:11" x14ac:dyDescent="0.3">
      <c r="A17" t="s">
        <v>1442</v>
      </c>
      <c r="B17" t="s">
        <v>1852</v>
      </c>
      <c r="C17" t="s">
        <v>142</v>
      </c>
      <c r="D17" t="s">
        <v>1852</v>
      </c>
      <c r="E17" t="s">
        <v>1658</v>
      </c>
      <c r="G17" t="s">
        <v>1443</v>
      </c>
      <c r="H17" t="s">
        <v>2068</v>
      </c>
      <c r="I17" t="s">
        <v>145</v>
      </c>
      <c r="J17" t="s">
        <v>2068</v>
      </c>
      <c r="K17" t="s">
        <v>1660</v>
      </c>
    </row>
    <row r="18" spans="1:11" x14ac:dyDescent="0.3">
      <c r="A18" t="s">
        <v>1442</v>
      </c>
      <c r="B18" t="s">
        <v>1856</v>
      </c>
      <c r="C18" t="s">
        <v>142</v>
      </c>
      <c r="D18" t="s">
        <v>1856</v>
      </c>
      <c r="E18" t="s">
        <v>1658</v>
      </c>
      <c r="G18" t="s">
        <v>1443</v>
      </c>
      <c r="H18" t="s">
        <v>2072</v>
      </c>
      <c r="I18" t="s">
        <v>145</v>
      </c>
      <c r="J18" t="s">
        <v>2072</v>
      </c>
      <c r="K18" t="s">
        <v>1660</v>
      </c>
    </row>
    <row r="19" spans="1:11" x14ac:dyDescent="0.3">
      <c r="A19" t="s">
        <v>1442</v>
      </c>
      <c r="B19" t="s">
        <v>1860</v>
      </c>
      <c r="C19" t="s">
        <v>142</v>
      </c>
      <c r="D19" t="s">
        <v>1860</v>
      </c>
      <c r="E19" t="s">
        <v>1658</v>
      </c>
      <c r="G19" t="s">
        <v>1443</v>
      </c>
      <c r="H19" t="s">
        <v>2076</v>
      </c>
      <c r="I19" t="s">
        <v>145</v>
      </c>
      <c r="J19" t="s">
        <v>2076</v>
      </c>
      <c r="K19" t="s">
        <v>1660</v>
      </c>
    </row>
    <row r="20" spans="1:11" x14ac:dyDescent="0.3">
      <c r="A20" t="s">
        <v>1442</v>
      </c>
      <c r="B20" t="s">
        <v>1864</v>
      </c>
      <c r="C20" t="s">
        <v>142</v>
      </c>
      <c r="D20" t="s">
        <v>1864</v>
      </c>
      <c r="E20" t="s">
        <v>1658</v>
      </c>
      <c r="G20" t="s">
        <v>1443</v>
      </c>
      <c r="H20" t="s">
        <v>2204</v>
      </c>
      <c r="I20" t="s">
        <v>145</v>
      </c>
      <c r="J20" t="s">
        <v>2204</v>
      </c>
      <c r="K20" t="s">
        <v>1660</v>
      </c>
    </row>
    <row r="21" spans="1:11" x14ac:dyDescent="0.3">
      <c r="A21" t="s">
        <v>1442</v>
      </c>
      <c r="B21" t="s">
        <v>1868</v>
      </c>
      <c r="C21" t="s">
        <v>142</v>
      </c>
      <c r="D21" t="s">
        <v>1868</v>
      </c>
      <c r="E21" t="s">
        <v>1658</v>
      </c>
      <c r="G21" t="s">
        <v>1443</v>
      </c>
      <c r="H21" t="s">
        <v>2216</v>
      </c>
      <c r="I21" t="s">
        <v>145</v>
      </c>
      <c r="J21" t="s">
        <v>2216</v>
      </c>
      <c r="K21" t="s">
        <v>1660</v>
      </c>
    </row>
    <row r="22" spans="1:11" x14ac:dyDescent="0.3">
      <c r="A22" t="s">
        <v>1442</v>
      </c>
      <c r="B22" t="s">
        <v>1872</v>
      </c>
      <c r="C22" t="s">
        <v>142</v>
      </c>
      <c r="D22" t="s">
        <v>1872</v>
      </c>
      <c r="E22" t="s">
        <v>1658</v>
      </c>
      <c r="G22" t="s">
        <v>1443</v>
      </c>
      <c r="H22" t="s">
        <v>2272</v>
      </c>
      <c r="I22" t="s">
        <v>880</v>
      </c>
      <c r="J22" t="s">
        <v>2272</v>
      </c>
      <c r="K22" t="s">
        <v>1661</v>
      </c>
    </row>
    <row r="23" spans="1:11" x14ac:dyDescent="0.3">
      <c r="A23" t="s">
        <v>1442</v>
      </c>
      <c r="B23" t="s">
        <v>1876</v>
      </c>
      <c r="C23" t="s">
        <v>142</v>
      </c>
      <c r="D23" t="s">
        <v>1876</v>
      </c>
      <c r="E23" t="s">
        <v>1658</v>
      </c>
      <c r="G23" t="s">
        <v>1443</v>
      </c>
      <c r="H23" t="s">
        <v>2276</v>
      </c>
      <c r="I23" t="s">
        <v>880</v>
      </c>
      <c r="J23" t="s">
        <v>2276</v>
      </c>
      <c r="K23" t="s">
        <v>1661</v>
      </c>
    </row>
    <row r="24" spans="1:11" x14ac:dyDescent="0.3">
      <c r="A24" t="s">
        <v>1442</v>
      </c>
      <c r="B24" t="s">
        <v>1880</v>
      </c>
      <c r="C24" t="s">
        <v>142</v>
      </c>
      <c r="D24" t="s">
        <v>1880</v>
      </c>
      <c r="E24" t="s">
        <v>1658</v>
      </c>
      <c r="G24" t="s">
        <v>1443</v>
      </c>
      <c r="H24" t="s">
        <v>2300</v>
      </c>
      <c r="I24" t="s">
        <v>1775</v>
      </c>
      <c r="J24" t="s">
        <v>2300</v>
      </c>
      <c r="K24" t="s">
        <v>1662</v>
      </c>
    </row>
    <row r="25" spans="1:11" x14ac:dyDescent="0.3">
      <c r="A25" t="s">
        <v>1442</v>
      </c>
      <c r="B25" t="s">
        <v>1884</v>
      </c>
      <c r="C25" t="s">
        <v>142</v>
      </c>
      <c r="D25" t="s">
        <v>1884</v>
      </c>
      <c r="E25" t="s">
        <v>1658</v>
      </c>
      <c r="G25" t="s">
        <v>1443</v>
      </c>
      <c r="H25" t="s">
        <v>2304</v>
      </c>
      <c r="I25" t="s">
        <v>1775</v>
      </c>
      <c r="J25" t="s">
        <v>2304</v>
      </c>
      <c r="K25" t="s">
        <v>1662</v>
      </c>
    </row>
    <row r="26" spans="1:11" x14ac:dyDescent="0.3">
      <c r="A26" t="s">
        <v>1442</v>
      </c>
      <c r="B26" t="s">
        <v>1888</v>
      </c>
      <c r="C26" t="s">
        <v>142</v>
      </c>
      <c r="D26" t="s">
        <v>1888</v>
      </c>
      <c r="E26" t="s">
        <v>1658</v>
      </c>
      <c r="G26" t="s">
        <v>1443</v>
      </c>
      <c r="H26" t="s">
        <v>2316</v>
      </c>
      <c r="I26" t="s">
        <v>1775</v>
      </c>
      <c r="J26" t="s">
        <v>2316</v>
      </c>
      <c r="K26" t="s">
        <v>1662</v>
      </c>
    </row>
    <row r="27" spans="1:11" x14ac:dyDescent="0.3">
      <c r="A27" t="s">
        <v>1442</v>
      </c>
      <c r="B27" t="s">
        <v>1908</v>
      </c>
      <c r="C27" t="s">
        <v>142</v>
      </c>
      <c r="D27" t="s">
        <v>1908</v>
      </c>
      <c r="E27" t="s">
        <v>1658</v>
      </c>
      <c r="G27" t="s">
        <v>1443</v>
      </c>
      <c r="H27" t="s">
        <v>2320</v>
      </c>
      <c r="I27" t="s">
        <v>1775</v>
      </c>
      <c r="J27" t="s">
        <v>2320</v>
      </c>
      <c r="K27" t="s">
        <v>1662</v>
      </c>
    </row>
    <row r="28" spans="1:11" x14ac:dyDescent="0.3">
      <c r="A28" t="s">
        <v>1442</v>
      </c>
      <c r="B28" t="s">
        <v>1916</v>
      </c>
      <c r="C28" t="s">
        <v>142</v>
      </c>
      <c r="D28" t="s">
        <v>1916</v>
      </c>
      <c r="E28" t="s">
        <v>1658</v>
      </c>
      <c r="G28" t="s">
        <v>1443</v>
      </c>
      <c r="H28" t="s">
        <v>2388</v>
      </c>
      <c r="I28" t="s">
        <v>1775</v>
      </c>
      <c r="J28" t="s">
        <v>2388</v>
      </c>
      <c r="K28" t="s">
        <v>1662</v>
      </c>
    </row>
    <row r="29" spans="1:11" x14ac:dyDescent="0.3">
      <c r="A29" t="s">
        <v>1442</v>
      </c>
      <c r="B29" t="s">
        <v>1920</v>
      </c>
      <c r="C29" t="s">
        <v>142</v>
      </c>
      <c r="D29" t="s">
        <v>1920</v>
      </c>
      <c r="E29" t="s">
        <v>1658</v>
      </c>
      <c r="G29" t="s">
        <v>1443</v>
      </c>
      <c r="H29" t="s">
        <v>2392</v>
      </c>
      <c r="I29" t="s">
        <v>1775</v>
      </c>
      <c r="J29" t="s">
        <v>2392</v>
      </c>
      <c r="K29" t="s">
        <v>1662</v>
      </c>
    </row>
    <row r="30" spans="1:11" x14ac:dyDescent="0.3">
      <c r="A30" t="s">
        <v>1442</v>
      </c>
      <c r="B30" t="s">
        <v>1924</v>
      </c>
      <c r="C30" t="s">
        <v>142</v>
      </c>
      <c r="D30" t="s">
        <v>1924</v>
      </c>
      <c r="E30" t="s">
        <v>1658</v>
      </c>
      <c r="G30" t="s">
        <v>1443</v>
      </c>
      <c r="H30" t="s">
        <v>2396</v>
      </c>
      <c r="I30" t="s">
        <v>1775</v>
      </c>
      <c r="J30" t="s">
        <v>2396</v>
      </c>
      <c r="K30" t="s">
        <v>1662</v>
      </c>
    </row>
    <row r="31" spans="1:11" x14ac:dyDescent="0.3">
      <c r="A31" t="s">
        <v>1442</v>
      </c>
      <c r="B31" t="s">
        <v>1928</v>
      </c>
      <c r="C31" t="s">
        <v>142</v>
      </c>
      <c r="D31" t="s">
        <v>1928</v>
      </c>
      <c r="E31" t="s">
        <v>1658</v>
      </c>
      <c r="G31" t="s">
        <v>1443</v>
      </c>
      <c r="H31" t="s">
        <v>2400</v>
      </c>
      <c r="I31" t="s">
        <v>1775</v>
      </c>
      <c r="J31" t="s">
        <v>2400</v>
      </c>
      <c r="K31" t="s">
        <v>1662</v>
      </c>
    </row>
    <row r="32" spans="1:11" x14ac:dyDescent="0.3">
      <c r="A32" t="s">
        <v>1442</v>
      </c>
      <c r="B32" t="s">
        <v>1932</v>
      </c>
      <c r="C32" t="s">
        <v>142</v>
      </c>
      <c r="D32" t="s">
        <v>1932</v>
      </c>
      <c r="E32" t="s">
        <v>1658</v>
      </c>
      <c r="G32" t="s">
        <v>1443</v>
      </c>
      <c r="H32" t="s">
        <v>2404</v>
      </c>
      <c r="I32" t="s">
        <v>1775</v>
      </c>
      <c r="J32" t="s">
        <v>2404</v>
      </c>
      <c r="K32" t="s">
        <v>1662</v>
      </c>
    </row>
    <row r="33" spans="1:11" x14ac:dyDescent="0.3">
      <c r="A33" t="s">
        <v>1442</v>
      </c>
      <c r="B33" t="s">
        <v>1936</v>
      </c>
      <c r="C33" t="s">
        <v>142</v>
      </c>
      <c r="D33" t="s">
        <v>1936</v>
      </c>
      <c r="E33" t="s">
        <v>1658</v>
      </c>
      <c r="G33" t="s">
        <v>1443</v>
      </c>
      <c r="H33" t="s">
        <v>2408</v>
      </c>
      <c r="I33" t="s">
        <v>1775</v>
      </c>
      <c r="J33" t="s">
        <v>2408</v>
      </c>
      <c r="K33" t="s">
        <v>1662</v>
      </c>
    </row>
    <row r="34" spans="1:11" x14ac:dyDescent="0.3">
      <c r="A34" t="s">
        <v>1442</v>
      </c>
      <c r="B34" t="s">
        <v>1940</v>
      </c>
      <c r="C34" t="s">
        <v>142</v>
      </c>
      <c r="D34" t="s">
        <v>1940</v>
      </c>
      <c r="E34" t="s">
        <v>1658</v>
      </c>
      <c r="G34" t="s">
        <v>1443</v>
      </c>
      <c r="H34" t="s">
        <v>2544</v>
      </c>
      <c r="I34" t="s">
        <v>146</v>
      </c>
      <c r="J34" t="s">
        <v>2544</v>
      </c>
      <c r="K34" t="s">
        <v>1663</v>
      </c>
    </row>
    <row r="35" spans="1:11" x14ac:dyDescent="0.3">
      <c r="A35" t="s">
        <v>1442</v>
      </c>
      <c r="B35" t="s">
        <v>1944</v>
      </c>
      <c r="C35" t="s">
        <v>142</v>
      </c>
      <c r="D35" t="s">
        <v>1944</v>
      </c>
      <c r="E35" t="s">
        <v>1658</v>
      </c>
      <c r="G35" t="s">
        <v>1443</v>
      </c>
      <c r="H35" t="s">
        <v>2548</v>
      </c>
      <c r="I35" t="s">
        <v>146</v>
      </c>
      <c r="J35" t="s">
        <v>2548</v>
      </c>
      <c r="K35" t="s">
        <v>1663</v>
      </c>
    </row>
    <row r="36" spans="1:11" x14ac:dyDescent="0.3">
      <c r="A36" t="s">
        <v>1442</v>
      </c>
      <c r="B36" t="s">
        <v>1948</v>
      </c>
      <c r="C36" t="s">
        <v>142</v>
      </c>
      <c r="D36" t="s">
        <v>1948</v>
      </c>
      <c r="E36" t="s">
        <v>1658</v>
      </c>
      <c r="G36" t="s">
        <v>1443</v>
      </c>
      <c r="H36" t="s">
        <v>2552</v>
      </c>
      <c r="I36" t="s">
        <v>146</v>
      </c>
      <c r="J36" t="s">
        <v>2552</v>
      </c>
      <c r="K36" t="s">
        <v>1663</v>
      </c>
    </row>
    <row r="37" spans="1:11" x14ac:dyDescent="0.3">
      <c r="A37" t="s">
        <v>1442</v>
      </c>
      <c r="B37" t="s">
        <v>1952</v>
      </c>
      <c r="C37" t="s">
        <v>142</v>
      </c>
      <c r="D37" t="s">
        <v>1952</v>
      </c>
      <c r="E37" t="s">
        <v>1658</v>
      </c>
      <c r="G37" t="s">
        <v>1443</v>
      </c>
      <c r="H37" t="s">
        <v>2556</v>
      </c>
      <c r="I37" t="s">
        <v>146</v>
      </c>
      <c r="J37" t="s">
        <v>2556</v>
      </c>
      <c r="K37" t="s">
        <v>1663</v>
      </c>
    </row>
    <row r="38" spans="1:11" x14ac:dyDescent="0.3">
      <c r="A38" t="s">
        <v>1442</v>
      </c>
      <c r="B38" t="s">
        <v>1956</v>
      </c>
      <c r="C38" t="s">
        <v>142</v>
      </c>
      <c r="D38" t="s">
        <v>1956</v>
      </c>
      <c r="E38" t="s">
        <v>1658</v>
      </c>
    </row>
    <row r="39" spans="1:11" x14ac:dyDescent="0.3">
      <c r="A39" t="s">
        <v>1442</v>
      </c>
      <c r="B39" t="s">
        <v>1964</v>
      </c>
      <c r="C39" t="s">
        <v>142</v>
      </c>
      <c r="D39" t="s">
        <v>1964</v>
      </c>
      <c r="E39" t="s">
        <v>1658</v>
      </c>
    </row>
    <row r="40" spans="1:11" x14ac:dyDescent="0.3">
      <c r="A40" t="s">
        <v>1442</v>
      </c>
      <c r="B40" t="s">
        <v>1968</v>
      </c>
      <c r="C40" t="s">
        <v>142</v>
      </c>
      <c r="D40" t="s">
        <v>1968</v>
      </c>
      <c r="E40" t="s">
        <v>1658</v>
      </c>
    </row>
    <row r="41" spans="1:11" x14ac:dyDescent="0.3">
      <c r="A41" t="s">
        <v>1442</v>
      </c>
      <c r="B41" t="s">
        <v>1972</v>
      </c>
      <c r="C41" t="s">
        <v>142</v>
      </c>
      <c r="D41" t="s">
        <v>1972</v>
      </c>
      <c r="E41" t="s">
        <v>1658</v>
      </c>
    </row>
    <row r="42" spans="1:11" x14ac:dyDescent="0.3">
      <c r="A42" t="s">
        <v>1442</v>
      </c>
      <c r="B42" t="s">
        <v>1976</v>
      </c>
      <c r="C42" t="s">
        <v>142</v>
      </c>
      <c r="D42" t="s">
        <v>1976</v>
      </c>
      <c r="E42" t="s">
        <v>1658</v>
      </c>
    </row>
    <row r="43" spans="1:11" x14ac:dyDescent="0.3">
      <c r="A43" t="s">
        <v>1442</v>
      </c>
      <c r="B43" t="s">
        <v>1980</v>
      </c>
      <c r="C43" t="s">
        <v>142</v>
      </c>
      <c r="D43" t="s">
        <v>1980</v>
      </c>
      <c r="E43" t="s">
        <v>1658</v>
      </c>
    </row>
    <row r="44" spans="1:11" x14ac:dyDescent="0.3">
      <c r="A44" t="s">
        <v>1442</v>
      </c>
      <c r="B44" t="s">
        <v>1984</v>
      </c>
      <c r="C44" t="s">
        <v>142</v>
      </c>
      <c r="D44" t="s">
        <v>1984</v>
      </c>
      <c r="E44" t="s">
        <v>1658</v>
      </c>
    </row>
    <row r="45" spans="1:11" x14ac:dyDescent="0.3">
      <c r="A45" t="s">
        <v>1442</v>
      </c>
      <c r="B45" t="s">
        <v>1988</v>
      </c>
      <c r="C45" t="s">
        <v>142</v>
      </c>
      <c r="D45" t="s">
        <v>1988</v>
      </c>
      <c r="E45" t="s">
        <v>1658</v>
      </c>
    </row>
    <row r="46" spans="1:11" x14ac:dyDescent="0.3">
      <c r="A46" t="s">
        <v>1442</v>
      </c>
      <c r="B46" t="s">
        <v>1992</v>
      </c>
      <c r="C46" t="s">
        <v>142</v>
      </c>
      <c r="D46" t="s">
        <v>1992</v>
      </c>
      <c r="E46" t="s">
        <v>1658</v>
      </c>
    </row>
    <row r="47" spans="1:11" x14ac:dyDescent="0.3">
      <c r="A47" t="s">
        <v>1442</v>
      </c>
      <c r="B47" t="s">
        <v>2004</v>
      </c>
      <c r="C47" t="s">
        <v>142</v>
      </c>
      <c r="D47" t="s">
        <v>2004</v>
      </c>
      <c r="E47" t="s">
        <v>1658</v>
      </c>
    </row>
    <row r="48" spans="1:11" x14ac:dyDescent="0.3">
      <c r="A48" t="s">
        <v>1442</v>
      </c>
      <c r="B48" t="s">
        <v>2008</v>
      </c>
      <c r="C48" t="s">
        <v>142</v>
      </c>
      <c r="D48" t="s">
        <v>2008</v>
      </c>
      <c r="E48" t="s">
        <v>1658</v>
      </c>
    </row>
    <row r="49" spans="1:5" x14ac:dyDescent="0.3">
      <c r="A49" t="s">
        <v>1442</v>
      </c>
      <c r="B49" t="s">
        <v>2012</v>
      </c>
      <c r="C49" t="s">
        <v>142</v>
      </c>
      <c r="D49" t="s">
        <v>2012</v>
      </c>
      <c r="E49" t="s">
        <v>1658</v>
      </c>
    </row>
    <row r="50" spans="1:5" x14ac:dyDescent="0.3">
      <c r="A50" t="s">
        <v>1442</v>
      </c>
      <c r="B50" t="s">
        <v>2016</v>
      </c>
      <c r="C50" t="s">
        <v>144</v>
      </c>
      <c r="D50" t="s">
        <v>2016</v>
      </c>
      <c r="E50" t="s">
        <v>1659</v>
      </c>
    </row>
    <row r="51" spans="1:5" x14ac:dyDescent="0.3">
      <c r="A51" t="s">
        <v>1442</v>
      </c>
      <c r="B51" t="s">
        <v>2020</v>
      </c>
      <c r="C51" t="s">
        <v>144</v>
      </c>
      <c r="D51" t="s">
        <v>2020</v>
      </c>
      <c r="E51" t="s">
        <v>1659</v>
      </c>
    </row>
    <row r="52" spans="1:5" x14ac:dyDescent="0.3">
      <c r="A52" t="s">
        <v>1442</v>
      </c>
      <c r="B52" t="s">
        <v>2024</v>
      </c>
      <c r="C52" t="s">
        <v>144</v>
      </c>
      <c r="D52" t="s">
        <v>2024</v>
      </c>
      <c r="E52" t="s">
        <v>1659</v>
      </c>
    </row>
    <row r="53" spans="1:5" x14ac:dyDescent="0.3">
      <c r="A53" t="s">
        <v>1442</v>
      </c>
      <c r="B53" t="s">
        <v>2028</v>
      </c>
      <c r="C53" t="s">
        <v>144</v>
      </c>
      <c r="D53" t="s">
        <v>2028</v>
      </c>
      <c r="E53" t="s">
        <v>1659</v>
      </c>
    </row>
    <row r="54" spans="1:5" x14ac:dyDescent="0.3">
      <c r="A54" t="s">
        <v>1442</v>
      </c>
      <c r="B54" t="s">
        <v>2032</v>
      </c>
      <c r="C54" t="s">
        <v>144</v>
      </c>
      <c r="D54" t="s">
        <v>2032</v>
      </c>
      <c r="E54" t="s">
        <v>1659</v>
      </c>
    </row>
    <row r="55" spans="1:5" x14ac:dyDescent="0.3">
      <c r="A55" t="s">
        <v>1442</v>
      </c>
      <c r="B55" t="s">
        <v>2036</v>
      </c>
      <c r="C55" t="s">
        <v>144</v>
      </c>
      <c r="D55" t="s">
        <v>2036</v>
      </c>
      <c r="E55" t="s">
        <v>1659</v>
      </c>
    </row>
    <row r="56" spans="1:5" x14ac:dyDescent="0.3">
      <c r="A56" t="s">
        <v>1442</v>
      </c>
      <c r="B56" t="s">
        <v>2048</v>
      </c>
      <c r="C56" t="s">
        <v>145</v>
      </c>
      <c r="D56" t="s">
        <v>2048</v>
      </c>
      <c r="E56" t="s">
        <v>1660</v>
      </c>
    </row>
    <row r="57" spans="1:5" x14ac:dyDescent="0.3">
      <c r="A57" t="s">
        <v>1442</v>
      </c>
      <c r="B57" t="s">
        <v>2052</v>
      </c>
      <c r="C57" t="s">
        <v>145</v>
      </c>
      <c r="D57" t="s">
        <v>2052</v>
      </c>
      <c r="E57" t="s">
        <v>1660</v>
      </c>
    </row>
    <row r="58" spans="1:5" x14ac:dyDescent="0.3">
      <c r="A58" t="s">
        <v>1442</v>
      </c>
      <c r="B58" t="s">
        <v>2056</v>
      </c>
      <c r="C58" t="s">
        <v>145</v>
      </c>
      <c r="D58" t="s">
        <v>2056</v>
      </c>
      <c r="E58" t="s">
        <v>1660</v>
      </c>
    </row>
    <row r="59" spans="1:5" x14ac:dyDescent="0.3">
      <c r="A59" t="s">
        <v>1442</v>
      </c>
      <c r="B59" t="s">
        <v>2060</v>
      </c>
      <c r="C59" t="s">
        <v>145</v>
      </c>
      <c r="D59" t="s">
        <v>2060</v>
      </c>
      <c r="E59" t="s">
        <v>1660</v>
      </c>
    </row>
    <row r="60" spans="1:5" x14ac:dyDescent="0.3">
      <c r="A60" t="s">
        <v>1442</v>
      </c>
      <c r="B60" t="s">
        <v>2080</v>
      </c>
      <c r="C60" t="s">
        <v>145</v>
      </c>
      <c r="D60" t="s">
        <v>2080</v>
      </c>
      <c r="E60" t="s">
        <v>1660</v>
      </c>
    </row>
    <row r="61" spans="1:5" x14ac:dyDescent="0.3">
      <c r="A61" t="s">
        <v>1442</v>
      </c>
      <c r="B61" t="s">
        <v>2084</v>
      </c>
      <c r="C61" t="s">
        <v>145</v>
      </c>
      <c r="D61" t="s">
        <v>2084</v>
      </c>
      <c r="E61" t="s">
        <v>1660</v>
      </c>
    </row>
    <row r="62" spans="1:5" x14ac:dyDescent="0.3">
      <c r="A62" t="s">
        <v>1442</v>
      </c>
      <c r="B62" t="s">
        <v>2088</v>
      </c>
      <c r="C62" t="s">
        <v>145</v>
      </c>
      <c r="D62" t="s">
        <v>2088</v>
      </c>
      <c r="E62" t="s">
        <v>1660</v>
      </c>
    </row>
    <row r="63" spans="1:5" x14ac:dyDescent="0.3">
      <c r="A63" t="s">
        <v>1442</v>
      </c>
      <c r="B63" t="s">
        <v>2092</v>
      </c>
      <c r="C63" t="s">
        <v>145</v>
      </c>
      <c r="D63" t="s">
        <v>2092</v>
      </c>
      <c r="E63" t="s">
        <v>1660</v>
      </c>
    </row>
    <row r="64" spans="1:5" x14ac:dyDescent="0.3">
      <c r="A64" t="s">
        <v>1442</v>
      </c>
      <c r="B64" t="s">
        <v>2096</v>
      </c>
      <c r="C64" t="s">
        <v>145</v>
      </c>
      <c r="D64" t="s">
        <v>2096</v>
      </c>
      <c r="E64" t="s">
        <v>1660</v>
      </c>
    </row>
    <row r="65" spans="1:5" x14ac:dyDescent="0.3">
      <c r="A65" t="s">
        <v>1442</v>
      </c>
      <c r="B65" t="s">
        <v>2100</v>
      </c>
      <c r="C65" t="s">
        <v>145</v>
      </c>
      <c r="D65" t="s">
        <v>2100</v>
      </c>
      <c r="E65" t="s">
        <v>1660</v>
      </c>
    </row>
    <row r="66" spans="1:5" x14ac:dyDescent="0.3">
      <c r="A66" t="s">
        <v>1442</v>
      </c>
      <c r="B66" t="s">
        <v>2104</v>
      </c>
      <c r="C66" t="s">
        <v>145</v>
      </c>
      <c r="D66" t="s">
        <v>2104</v>
      </c>
      <c r="E66" t="s">
        <v>1660</v>
      </c>
    </row>
    <row r="67" spans="1:5" x14ac:dyDescent="0.3">
      <c r="A67" t="s">
        <v>1442</v>
      </c>
      <c r="B67" t="s">
        <v>2108</v>
      </c>
      <c r="C67" t="s">
        <v>145</v>
      </c>
      <c r="D67" t="s">
        <v>2108</v>
      </c>
      <c r="E67" t="s">
        <v>1660</v>
      </c>
    </row>
    <row r="68" spans="1:5" x14ac:dyDescent="0.3">
      <c r="A68" t="s">
        <v>1442</v>
      </c>
      <c r="B68" t="s">
        <v>2112</v>
      </c>
      <c r="C68" t="s">
        <v>145</v>
      </c>
      <c r="D68" t="s">
        <v>2112</v>
      </c>
      <c r="E68" t="s">
        <v>1660</v>
      </c>
    </row>
    <row r="69" spans="1:5" x14ac:dyDescent="0.3">
      <c r="A69" t="s">
        <v>1442</v>
      </c>
      <c r="B69" t="s">
        <v>2116</v>
      </c>
      <c r="C69" t="s">
        <v>145</v>
      </c>
      <c r="D69" t="s">
        <v>2116</v>
      </c>
      <c r="E69" t="s">
        <v>1660</v>
      </c>
    </row>
    <row r="70" spans="1:5" x14ac:dyDescent="0.3">
      <c r="A70" t="s">
        <v>1442</v>
      </c>
      <c r="B70" t="s">
        <v>2120</v>
      </c>
      <c r="C70" t="s">
        <v>145</v>
      </c>
      <c r="D70" t="s">
        <v>2120</v>
      </c>
      <c r="E70" t="s">
        <v>1660</v>
      </c>
    </row>
    <row r="71" spans="1:5" x14ac:dyDescent="0.3">
      <c r="A71" t="s">
        <v>1442</v>
      </c>
      <c r="B71" t="s">
        <v>2124</v>
      </c>
      <c r="C71" t="s">
        <v>145</v>
      </c>
      <c r="D71" t="s">
        <v>2124</v>
      </c>
      <c r="E71" t="s">
        <v>1660</v>
      </c>
    </row>
    <row r="72" spans="1:5" x14ac:dyDescent="0.3">
      <c r="A72" t="s">
        <v>1442</v>
      </c>
      <c r="B72" t="s">
        <v>2128</v>
      </c>
      <c r="C72" t="s">
        <v>145</v>
      </c>
      <c r="D72" t="s">
        <v>2128</v>
      </c>
      <c r="E72" t="s">
        <v>1660</v>
      </c>
    </row>
    <row r="73" spans="1:5" x14ac:dyDescent="0.3">
      <c r="A73" t="s">
        <v>1442</v>
      </c>
      <c r="B73" t="s">
        <v>2132</v>
      </c>
      <c r="C73" t="s">
        <v>145</v>
      </c>
      <c r="D73" t="s">
        <v>2132</v>
      </c>
      <c r="E73" t="s">
        <v>1660</v>
      </c>
    </row>
    <row r="74" spans="1:5" x14ac:dyDescent="0.3">
      <c r="A74" t="s">
        <v>1442</v>
      </c>
      <c r="B74" t="s">
        <v>2136</v>
      </c>
      <c r="C74" t="s">
        <v>145</v>
      </c>
      <c r="D74" t="s">
        <v>2136</v>
      </c>
      <c r="E74" t="s">
        <v>1660</v>
      </c>
    </row>
    <row r="75" spans="1:5" x14ac:dyDescent="0.3">
      <c r="A75" t="s">
        <v>1442</v>
      </c>
      <c r="B75" t="s">
        <v>2140</v>
      </c>
      <c r="C75" t="s">
        <v>145</v>
      </c>
      <c r="D75" t="s">
        <v>2140</v>
      </c>
      <c r="E75" t="s">
        <v>1660</v>
      </c>
    </row>
    <row r="76" spans="1:5" x14ac:dyDescent="0.3">
      <c r="A76" t="s">
        <v>1442</v>
      </c>
      <c r="B76" t="s">
        <v>2144</v>
      </c>
      <c r="C76" t="s">
        <v>145</v>
      </c>
      <c r="D76" t="s">
        <v>2144</v>
      </c>
      <c r="E76" t="s">
        <v>1660</v>
      </c>
    </row>
    <row r="77" spans="1:5" x14ac:dyDescent="0.3">
      <c r="A77" t="s">
        <v>1442</v>
      </c>
      <c r="B77" t="s">
        <v>2148</v>
      </c>
      <c r="C77" t="s">
        <v>145</v>
      </c>
      <c r="D77" t="s">
        <v>2148</v>
      </c>
      <c r="E77" t="s">
        <v>1660</v>
      </c>
    </row>
    <row r="78" spans="1:5" x14ac:dyDescent="0.3">
      <c r="A78" t="s">
        <v>1442</v>
      </c>
      <c r="B78" t="s">
        <v>2152</v>
      </c>
      <c r="C78" t="s">
        <v>145</v>
      </c>
      <c r="D78" t="s">
        <v>2152</v>
      </c>
      <c r="E78" t="s">
        <v>1660</v>
      </c>
    </row>
    <row r="79" spans="1:5" x14ac:dyDescent="0.3">
      <c r="A79" t="s">
        <v>1442</v>
      </c>
      <c r="B79" t="s">
        <v>2156</v>
      </c>
      <c r="C79" t="s">
        <v>145</v>
      </c>
      <c r="D79" t="s">
        <v>2156</v>
      </c>
      <c r="E79" t="s">
        <v>1660</v>
      </c>
    </row>
    <row r="80" spans="1:5" x14ac:dyDescent="0.3">
      <c r="A80" t="s">
        <v>1442</v>
      </c>
      <c r="B80" t="s">
        <v>2160</v>
      </c>
      <c r="C80" t="s">
        <v>145</v>
      </c>
      <c r="D80" t="s">
        <v>2160</v>
      </c>
      <c r="E80" t="s">
        <v>1660</v>
      </c>
    </row>
    <row r="81" spans="1:5" x14ac:dyDescent="0.3">
      <c r="A81" t="s">
        <v>1442</v>
      </c>
      <c r="B81" t="s">
        <v>2164</v>
      </c>
      <c r="C81" t="s">
        <v>145</v>
      </c>
      <c r="D81" t="s">
        <v>2164</v>
      </c>
      <c r="E81" t="s">
        <v>1660</v>
      </c>
    </row>
    <row r="82" spans="1:5" x14ac:dyDescent="0.3">
      <c r="A82" t="s">
        <v>1442</v>
      </c>
      <c r="B82" t="s">
        <v>2168</v>
      </c>
      <c r="C82" t="s">
        <v>145</v>
      </c>
      <c r="D82" t="s">
        <v>2168</v>
      </c>
      <c r="E82" t="s">
        <v>1660</v>
      </c>
    </row>
    <row r="83" spans="1:5" x14ac:dyDescent="0.3">
      <c r="A83" t="s">
        <v>1442</v>
      </c>
      <c r="B83" t="s">
        <v>2172</v>
      </c>
      <c r="C83" t="s">
        <v>145</v>
      </c>
      <c r="D83" t="s">
        <v>2172</v>
      </c>
      <c r="E83" t="s">
        <v>1660</v>
      </c>
    </row>
    <row r="84" spans="1:5" x14ac:dyDescent="0.3">
      <c r="A84" t="s">
        <v>1442</v>
      </c>
      <c r="B84" t="s">
        <v>2176</v>
      </c>
      <c r="C84" t="s">
        <v>145</v>
      </c>
      <c r="D84" t="s">
        <v>2176</v>
      </c>
      <c r="E84" t="s">
        <v>1660</v>
      </c>
    </row>
    <row r="85" spans="1:5" x14ac:dyDescent="0.3">
      <c r="A85" t="s">
        <v>1442</v>
      </c>
      <c r="B85" t="s">
        <v>2180</v>
      </c>
      <c r="C85" t="s">
        <v>145</v>
      </c>
      <c r="D85" t="s">
        <v>2180</v>
      </c>
      <c r="E85" t="s">
        <v>1660</v>
      </c>
    </row>
    <row r="86" spans="1:5" x14ac:dyDescent="0.3">
      <c r="A86" t="s">
        <v>1442</v>
      </c>
      <c r="B86" t="s">
        <v>2184</v>
      </c>
      <c r="C86" t="s">
        <v>145</v>
      </c>
      <c r="D86" t="s">
        <v>2184</v>
      </c>
      <c r="E86" t="s">
        <v>1660</v>
      </c>
    </row>
    <row r="87" spans="1:5" x14ac:dyDescent="0.3">
      <c r="A87" t="s">
        <v>1442</v>
      </c>
      <c r="B87" t="s">
        <v>2188</v>
      </c>
      <c r="C87" t="s">
        <v>145</v>
      </c>
      <c r="D87" t="s">
        <v>2188</v>
      </c>
      <c r="E87" t="s">
        <v>1660</v>
      </c>
    </row>
    <row r="88" spans="1:5" x14ac:dyDescent="0.3">
      <c r="A88" t="s">
        <v>1442</v>
      </c>
      <c r="B88" t="s">
        <v>2192</v>
      </c>
      <c r="C88" t="s">
        <v>145</v>
      </c>
      <c r="D88" t="s">
        <v>2192</v>
      </c>
      <c r="E88" t="s">
        <v>1660</v>
      </c>
    </row>
    <row r="89" spans="1:5" x14ac:dyDescent="0.3">
      <c r="A89" t="s">
        <v>1442</v>
      </c>
      <c r="B89" t="s">
        <v>2196</v>
      </c>
      <c r="C89" t="s">
        <v>145</v>
      </c>
      <c r="D89" t="s">
        <v>2196</v>
      </c>
      <c r="E89" t="s">
        <v>1660</v>
      </c>
    </row>
    <row r="90" spans="1:5" x14ac:dyDescent="0.3">
      <c r="A90" t="s">
        <v>1442</v>
      </c>
      <c r="B90" t="s">
        <v>2200</v>
      </c>
      <c r="C90" t="s">
        <v>145</v>
      </c>
      <c r="D90" t="s">
        <v>2200</v>
      </c>
      <c r="E90" t="s">
        <v>1660</v>
      </c>
    </row>
    <row r="91" spans="1:5" x14ac:dyDescent="0.3">
      <c r="A91" t="s">
        <v>1442</v>
      </c>
      <c r="B91" t="s">
        <v>2208</v>
      </c>
      <c r="C91" t="s">
        <v>145</v>
      </c>
      <c r="D91" t="s">
        <v>2208</v>
      </c>
      <c r="E91" t="s">
        <v>1660</v>
      </c>
    </row>
    <row r="92" spans="1:5" x14ac:dyDescent="0.3">
      <c r="A92" t="s">
        <v>1442</v>
      </c>
      <c r="B92" t="s">
        <v>2212</v>
      </c>
      <c r="C92" t="s">
        <v>145</v>
      </c>
      <c r="D92" t="s">
        <v>2212</v>
      </c>
      <c r="E92" t="s">
        <v>1660</v>
      </c>
    </row>
    <row r="93" spans="1:5" x14ac:dyDescent="0.3">
      <c r="A93" t="s">
        <v>1442</v>
      </c>
      <c r="B93" t="s">
        <v>2220</v>
      </c>
      <c r="C93" t="s">
        <v>145</v>
      </c>
      <c r="D93" t="s">
        <v>2220</v>
      </c>
      <c r="E93" t="s">
        <v>1660</v>
      </c>
    </row>
    <row r="94" spans="1:5" x14ac:dyDescent="0.3">
      <c r="A94" t="s">
        <v>1442</v>
      </c>
      <c r="B94" t="s">
        <v>2224</v>
      </c>
      <c r="C94" t="s">
        <v>145</v>
      </c>
      <c r="D94" t="s">
        <v>2224</v>
      </c>
      <c r="E94" t="s">
        <v>1660</v>
      </c>
    </row>
    <row r="95" spans="1:5" x14ac:dyDescent="0.3">
      <c r="A95" t="s">
        <v>1442</v>
      </c>
      <c r="B95" t="s">
        <v>2228</v>
      </c>
      <c r="C95" t="s">
        <v>145</v>
      </c>
      <c r="D95" t="s">
        <v>2228</v>
      </c>
      <c r="E95" t="s">
        <v>1660</v>
      </c>
    </row>
    <row r="96" spans="1:5" x14ac:dyDescent="0.3">
      <c r="A96" t="s">
        <v>1442</v>
      </c>
      <c r="B96" t="s">
        <v>2232</v>
      </c>
      <c r="C96" t="s">
        <v>145</v>
      </c>
      <c r="D96" t="s">
        <v>2232</v>
      </c>
      <c r="E96" t="s">
        <v>1660</v>
      </c>
    </row>
    <row r="97" spans="1:5" x14ac:dyDescent="0.3">
      <c r="A97" t="s">
        <v>1442</v>
      </c>
      <c r="B97" t="s">
        <v>2236</v>
      </c>
      <c r="C97" t="s">
        <v>145</v>
      </c>
      <c r="D97" t="s">
        <v>2236</v>
      </c>
      <c r="E97" t="s">
        <v>1660</v>
      </c>
    </row>
    <row r="98" spans="1:5" x14ac:dyDescent="0.3">
      <c r="A98" t="s">
        <v>1442</v>
      </c>
      <c r="B98" t="s">
        <v>2240</v>
      </c>
      <c r="C98" t="s">
        <v>145</v>
      </c>
      <c r="D98" t="s">
        <v>2240</v>
      </c>
      <c r="E98" t="s">
        <v>1660</v>
      </c>
    </row>
    <row r="99" spans="1:5" x14ac:dyDescent="0.3">
      <c r="A99" t="s">
        <v>1442</v>
      </c>
      <c r="B99" t="s">
        <v>2244</v>
      </c>
      <c r="C99" t="s">
        <v>145</v>
      </c>
      <c r="D99" t="s">
        <v>2244</v>
      </c>
      <c r="E99" t="s">
        <v>1660</v>
      </c>
    </row>
    <row r="100" spans="1:5" x14ac:dyDescent="0.3">
      <c r="A100" t="s">
        <v>1442</v>
      </c>
      <c r="B100" t="s">
        <v>2248</v>
      </c>
      <c r="C100" t="s">
        <v>145</v>
      </c>
      <c r="D100" t="s">
        <v>2248</v>
      </c>
      <c r="E100" t="s">
        <v>1660</v>
      </c>
    </row>
    <row r="101" spans="1:5" x14ac:dyDescent="0.3">
      <c r="A101" t="s">
        <v>1442</v>
      </c>
      <c r="B101" t="s">
        <v>2252</v>
      </c>
      <c r="C101" t="s">
        <v>145</v>
      </c>
      <c r="D101" t="s">
        <v>2252</v>
      </c>
      <c r="E101" t="s">
        <v>1660</v>
      </c>
    </row>
    <row r="102" spans="1:5" x14ac:dyDescent="0.3">
      <c r="A102" t="s">
        <v>1442</v>
      </c>
      <c r="B102" t="s">
        <v>2256</v>
      </c>
      <c r="C102" t="s">
        <v>880</v>
      </c>
      <c r="D102" t="s">
        <v>2256</v>
      </c>
      <c r="E102" t="s">
        <v>1661</v>
      </c>
    </row>
    <row r="103" spans="1:5" x14ac:dyDescent="0.3">
      <c r="A103" t="s">
        <v>1442</v>
      </c>
      <c r="B103" t="s">
        <v>2260</v>
      </c>
      <c r="C103" t="s">
        <v>880</v>
      </c>
      <c r="D103" t="s">
        <v>2260</v>
      </c>
      <c r="E103" t="s">
        <v>1661</v>
      </c>
    </row>
    <row r="104" spans="1:5" x14ac:dyDescent="0.3">
      <c r="A104" t="s">
        <v>1442</v>
      </c>
      <c r="B104" t="s">
        <v>2264</v>
      </c>
      <c r="C104" t="s">
        <v>880</v>
      </c>
      <c r="D104" t="s">
        <v>2264</v>
      </c>
      <c r="E104" t="s">
        <v>1661</v>
      </c>
    </row>
    <row r="105" spans="1:5" x14ac:dyDescent="0.3">
      <c r="A105" t="s">
        <v>1442</v>
      </c>
      <c r="B105" t="s">
        <v>2268</v>
      </c>
      <c r="C105" t="s">
        <v>880</v>
      </c>
      <c r="D105" t="s">
        <v>2268</v>
      </c>
      <c r="E105" t="s">
        <v>1661</v>
      </c>
    </row>
    <row r="106" spans="1:5" x14ac:dyDescent="0.3">
      <c r="A106" t="s">
        <v>1442</v>
      </c>
      <c r="B106" t="s">
        <v>2280</v>
      </c>
      <c r="C106" t="s">
        <v>880</v>
      </c>
      <c r="D106" t="s">
        <v>2280</v>
      </c>
      <c r="E106" t="s">
        <v>1661</v>
      </c>
    </row>
    <row r="107" spans="1:5" x14ac:dyDescent="0.3">
      <c r="A107" t="s">
        <v>1442</v>
      </c>
      <c r="B107" t="s">
        <v>2284</v>
      </c>
      <c r="C107" t="s">
        <v>880</v>
      </c>
      <c r="D107" t="s">
        <v>2284</v>
      </c>
      <c r="E107" t="s">
        <v>1661</v>
      </c>
    </row>
    <row r="108" spans="1:5" x14ac:dyDescent="0.3">
      <c r="A108" t="s">
        <v>1442</v>
      </c>
      <c r="B108" t="s">
        <v>2288</v>
      </c>
      <c r="C108" t="s">
        <v>880</v>
      </c>
      <c r="D108" t="s">
        <v>2288</v>
      </c>
      <c r="E108" t="s">
        <v>1661</v>
      </c>
    </row>
    <row r="109" spans="1:5" x14ac:dyDescent="0.3">
      <c r="A109" t="s">
        <v>1442</v>
      </c>
      <c r="B109" t="s">
        <v>2292</v>
      </c>
      <c r="C109" t="s">
        <v>1775</v>
      </c>
      <c r="D109" t="s">
        <v>2292</v>
      </c>
      <c r="E109" t="s">
        <v>1662</v>
      </c>
    </row>
    <row r="110" spans="1:5" x14ac:dyDescent="0.3">
      <c r="A110" t="s">
        <v>1442</v>
      </c>
      <c r="B110" t="s">
        <v>2296</v>
      </c>
      <c r="C110" t="s">
        <v>1775</v>
      </c>
      <c r="D110" t="s">
        <v>2296</v>
      </c>
      <c r="E110" t="s">
        <v>1662</v>
      </c>
    </row>
    <row r="111" spans="1:5" x14ac:dyDescent="0.3">
      <c r="A111" t="s">
        <v>1442</v>
      </c>
      <c r="B111" t="s">
        <v>2308</v>
      </c>
      <c r="C111" t="s">
        <v>1775</v>
      </c>
      <c r="D111" t="s">
        <v>2308</v>
      </c>
      <c r="E111" t="s">
        <v>1662</v>
      </c>
    </row>
    <row r="112" spans="1:5" x14ac:dyDescent="0.3">
      <c r="A112" t="s">
        <v>1442</v>
      </c>
      <c r="B112" t="s">
        <v>2312</v>
      </c>
      <c r="C112" t="s">
        <v>1775</v>
      </c>
      <c r="D112" t="s">
        <v>2312</v>
      </c>
      <c r="E112" t="s">
        <v>1662</v>
      </c>
    </row>
    <row r="113" spans="1:5" x14ac:dyDescent="0.3">
      <c r="A113" t="s">
        <v>1442</v>
      </c>
      <c r="B113" t="s">
        <v>2324</v>
      </c>
      <c r="C113" t="s">
        <v>1775</v>
      </c>
      <c r="D113" t="s">
        <v>2324</v>
      </c>
      <c r="E113" t="s">
        <v>1662</v>
      </c>
    </row>
    <row r="114" spans="1:5" x14ac:dyDescent="0.3">
      <c r="A114" t="s">
        <v>1442</v>
      </c>
      <c r="B114" t="s">
        <v>2328</v>
      </c>
      <c r="C114" t="s">
        <v>1775</v>
      </c>
      <c r="D114" t="s">
        <v>2328</v>
      </c>
      <c r="E114" t="s">
        <v>1662</v>
      </c>
    </row>
    <row r="115" spans="1:5" x14ac:dyDescent="0.3">
      <c r="A115" t="s">
        <v>1442</v>
      </c>
      <c r="B115" t="s">
        <v>2332</v>
      </c>
      <c r="C115" t="s">
        <v>1775</v>
      </c>
      <c r="D115" t="s">
        <v>2332</v>
      </c>
      <c r="E115" t="s">
        <v>1662</v>
      </c>
    </row>
    <row r="116" spans="1:5" x14ac:dyDescent="0.3">
      <c r="A116" t="s">
        <v>1442</v>
      </c>
      <c r="B116" t="s">
        <v>2336</v>
      </c>
      <c r="C116" t="s">
        <v>1775</v>
      </c>
      <c r="D116" t="s">
        <v>2336</v>
      </c>
      <c r="E116" t="s">
        <v>1662</v>
      </c>
    </row>
    <row r="117" spans="1:5" x14ac:dyDescent="0.3">
      <c r="A117" t="s">
        <v>1442</v>
      </c>
      <c r="B117" t="s">
        <v>2340</v>
      </c>
      <c r="C117" t="s">
        <v>1775</v>
      </c>
      <c r="D117" t="s">
        <v>2340</v>
      </c>
      <c r="E117" t="s">
        <v>1662</v>
      </c>
    </row>
    <row r="118" spans="1:5" x14ac:dyDescent="0.3">
      <c r="A118" t="s">
        <v>1442</v>
      </c>
      <c r="B118" t="s">
        <v>2344</v>
      </c>
      <c r="C118" t="s">
        <v>1775</v>
      </c>
      <c r="D118" t="s">
        <v>2344</v>
      </c>
      <c r="E118" t="s">
        <v>1662</v>
      </c>
    </row>
    <row r="119" spans="1:5" x14ac:dyDescent="0.3">
      <c r="A119" t="s">
        <v>1442</v>
      </c>
      <c r="B119" t="s">
        <v>2348</v>
      </c>
      <c r="C119" t="s">
        <v>1775</v>
      </c>
      <c r="D119" t="s">
        <v>2348</v>
      </c>
      <c r="E119" t="s">
        <v>1662</v>
      </c>
    </row>
    <row r="120" spans="1:5" x14ac:dyDescent="0.3">
      <c r="A120" t="s">
        <v>1442</v>
      </c>
      <c r="B120" t="s">
        <v>2352</v>
      </c>
      <c r="C120" t="s">
        <v>1775</v>
      </c>
      <c r="D120" t="s">
        <v>2352</v>
      </c>
      <c r="E120" t="s">
        <v>1662</v>
      </c>
    </row>
    <row r="121" spans="1:5" x14ac:dyDescent="0.3">
      <c r="A121" t="s">
        <v>1442</v>
      </c>
      <c r="B121" t="s">
        <v>2356</v>
      </c>
      <c r="C121" t="s">
        <v>1775</v>
      </c>
      <c r="D121" t="s">
        <v>2356</v>
      </c>
      <c r="E121" t="s">
        <v>1662</v>
      </c>
    </row>
    <row r="122" spans="1:5" x14ac:dyDescent="0.3">
      <c r="A122" t="s">
        <v>1442</v>
      </c>
      <c r="B122" t="s">
        <v>2360</v>
      </c>
      <c r="C122" t="s">
        <v>1775</v>
      </c>
      <c r="D122" t="s">
        <v>2360</v>
      </c>
      <c r="E122" t="s">
        <v>1662</v>
      </c>
    </row>
    <row r="123" spans="1:5" x14ac:dyDescent="0.3">
      <c r="A123" t="s">
        <v>1442</v>
      </c>
      <c r="B123" t="s">
        <v>2364</v>
      </c>
      <c r="C123" t="s">
        <v>1775</v>
      </c>
      <c r="D123" t="s">
        <v>2364</v>
      </c>
      <c r="E123" t="s">
        <v>1662</v>
      </c>
    </row>
    <row r="124" spans="1:5" x14ac:dyDescent="0.3">
      <c r="A124" t="s">
        <v>1442</v>
      </c>
      <c r="B124" t="s">
        <v>2368</v>
      </c>
      <c r="C124" t="s">
        <v>1775</v>
      </c>
      <c r="D124" t="s">
        <v>2368</v>
      </c>
      <c r="E124" t="s">
        <v>1662</v>
      </c>
    </row>
    <row r="125" spans="1:5" x14ac:dyDescent="0.3">
      <c r="A125" t="s">
        <v>1442</v>
      </c>
      <c r="B125" t="s">
        <v>2372</v>
      </c>
      <c r="C125" t="s">
        <v>1775</v>
      </c>
      <c r="D125" t="s">
        <v>2372</v>
      </c>
      <c r="E125" t="s">
        <v>1662</v>
      </c>
    </row>
    <row r="126" spans="1:5" x14ac:dyDescent="0.3">
      <c r="A126" t="s">
        <v>1442</v>
      </c>
      <c r="B126" t="s">
        <v>2376</v>
      </c>
      <c r="C126" t="s">
        <v>1775</v>
      </c>
      <c r="D126" t="s">
        <v>2376</v>
      </c>
      <c r="E126" t="s">
        <v>1662</v>
      </c>
    </row>
    <row r="127" spans="1:5" x14ac:dyDescent="0.3">
      <c r="A127" t="s">
        <v>1442</v>
      </c>
      <c r="B127" t="s">
        <v>2380</v>
      </c>
      <c r="C127" t="s">
        <v>1775</v>
      </c>
      <c r="D127" t="s">
        <v>2380</v>
      </c>
      <c r="E127" t="s">
        <v>1662</v>
      </c>
    </row>
    <row r="128" spans="1:5" x14ac:dyDescent="0.3">
      <c r="A128" t="s">
        <v>1442</v>
      </c>
      <c r="B128" t="s">
        <v>2384</v>
      </c>
      <c r="C128" t="s">
        <v>1775</v>
      </c>
      <c r="D128" t="s">
        <v>2384</v>
      </c>
      <c r="E128" t="s">
        <v>1662</v>
      </c>
    </row>
    <row r="129" spans="1:5" x14ac:dyDescent="0.3">
      <c r="A129" t="s">
        <v>1442</v>
      </c>
      <c r="B129" t="s">
        <v>2412</v>
      </c>
      <c r="C129" t="s">
        <v>146</v>
      </c>
      <c r="D129" t="s">
        <v>2412</v>
      </c>
      <c r="E129" t="s">
        <v>1663</v>
      </c>
    </row>
    <row r="130" spans="1:5" x14ac:dyDescent="0.3">
      <c r="A130" t="s">
        <v>1442</v>
      </c>
      <c r="B130" t="s">
        <v>2416</v>
      </c>
      <c r="C130" t="s">
        <v>146</v>
      </c>
      <c r="D130" t="s">
        <v>2416</v>
      </c>
      <c r="E130" t="s">
        <v>1663</v>
      </c>
    </row>
    <row r="131" spans="1:5" x14ac:dyDescent="0.3">
      <c r="A131" t="s">
        <v>1442</v>
      </c>
      <c r="B131" t="s">
        <v>2420</v>
      </c>
      <c r="C131" t="s">
        <v>146</v>
      </c>
      <c r="D131" t="s">
        <v>2420</v>
      </c>
      <c r="E131" t="s">
        <v>1663</v>
      </c>
    </row>
    <row r="132" spans="1:5" x14ac:dyDescent="0.3">
      <c r="A132" t="s">
        <v>1442</v>
      </c>
      <c r="B132" t="s">
        <v>2424</v>
      </c>
      <c r="C132" t="s">
        <v>146</v>
      </c>
      <c r="D132" t="s">
        <v>2424</v>
      </c>
      <c r="E132" t="s">
        <v>1663</v>
      </c>
    </row>
    <row r="133" spans="1:5" x14ac:dyDescent="0.3">
      <c r="A133" t="s">
        <v>1442</v>
      </c>
      <c r="B133" t="s">
        <v>2428</v>
      </c>
      <c r="C133" t="s">
        <v>146</v>
      </c>
      <c r="D133" t="s">
        <v>2428</v>
      </c>
      <c r="E133" t="s">
        <v>1663</v>
      </c>
    </row>
    <row r="134" spans="1:5" x14ac:dyDescent="0.3">
      <c r="A134" t="s">
        <v>1442</v>
      </c>
      <c r="B134" t="s">
        <v>2432</v>
      </c>
      <c r="C134" t="s">
        <v>146</v>
      </c>
      <c r="D134" t="s">
        <v>2432</v>
      </c>
      <c r="E134" t="s">
        <v>1663</v>
      </c>
    </row>
    <row r="135" spans="1:5" x14ac:dyDescent="0.3">
      <c r="A135" t="s">
        <v>1442</v>
      </c>
      <c r="B135" t="s">
        <v>2436</v>
      </c>
      <c r="C135" t="s">
        <v>146</v>
      </c>
      <c r="D135" t="s">
        <v>2436</v>
      </c>
      <c r="E135" t="s">
        <v>1663</v>
      </c>
    </row>
    <row r="136" spans="1:5" x14ac:dyDescent="0.3">
      <c r="A136" t="s">
        <v>1442</v>
      </c>
      <c r="B136" t="s">
        <v>2440</v>
      </c>
      <c r="C136" t="s">
        <v>146</v>
      </c>
      <c r="D136" t="s">
        <v>2440</v>
      </c>
      <c r="E136" t="s">
        <v>1663</v>
      </c>
    </row>
    <row r="137" spans="1:5" x14ac:dyDescent="0.3">
      <c r="A137" t="s">
        <v>1442</v>
      </c>
      <c r="B137" t="s">
        <v>2444</v>
      </c>
      <c r="C137" t="s">
        <v>146</v>
      </c>
      <c r="D137" t="s">
        <v>2444</v>
      </c>
      <c r="E137" t="s">
        <v>1663</v>
      </c>
    </row>
    <row r="138" spans="1:5" x14ac:dyDescent="0.3">
      <c r="A138" t="s">
        <v>1442</v>
      </c>
      <c r="B138" t="s">
        <v>2448</v>
      </c>
      <c r="C138" t="s">
        <v>146</v>
      </c>
      <c r="D138" t="s">
        <v>2448</v>
      </c>
      <c r="E138" t="s">
        <v>1663</v>
      </c>
    </row>
    <row r="139" spans="1:5" x14ac:dyDescent="0.3">
      <c r="A139" t="s">
        <v>1442</v>
      </c>
      <c r="B139" t="s">
        <v>2452</v>
      </c>
      <c r="C139" t="s">
        <v>146</v>
      </c>
      <c r="D139" t="s">
        <v>2452</v>
      </c>
      <c r="E139" t="s">
        <v>1663</v>
      </c>
    </row>
    <row r="140" spans="1:5" x14ac:dyDescent="0.3">
      <c r="A140" t="s">
        <v>1442</v>
      </c>
      <c r="B140" t="s">
        <v>2456</v>
      </c>
      <c r="C140" t="s">
        <v>146</v>
      </c>
      <c r="D140" t="s">
        <v>2456</v>
      </c>
      <c r="E140" t="s">
        <v>1663</v>
      </c>
    </row>
    <row r="141" spans="1:5" x14ac:dyDescent="0.3">
      <c r="A141" t="s">
        <v>1442</v>
      </c>
      <c r="B141" t="s">
        <v>2460</v>
      </c>
      <c r="C141" t="s">
        <v>146</v>
      </c>
      <c r="D141" t="s">
        <v>2460</v>
      </c>
      <c r="E141" t="s">
        <v>1663</v>
      </c>
    </row>
    <row r="142" spans="1:5" x14ac:dyDescent="0.3">
      <c r="A142" t="s">
        <v>1442</v>
      </c>
      <c r="B142" t="s">
        <v>2464</v>
      </c>
      <c r="C142" t="s">
        <v>146</v>
      </c>
      <c r="D142" t="s">
        <v>2464</v>
      </c>
      <c r="E142" t="s">
        <v>1663</v>
      </c>
    </row>
    <row r="143" spans="1:5" x14ac:dyDescent="0.3">
      <c r="A143" t="s">
        <v>1442</v>
      </c>
      <c r="B143" t="s">
        <v>2468</v>
      </c>
      <c r="C143" t="s">
        <v>146</v>
      </c>
      <c r="D143" t="s">
        <v>2468</v>
      </c>
      <c r="E143" t="s">
        <v>1663</v>
      </c>
    </row>
    <row r="144" spans="1:5" x14ac:dyDescent="0.3">
      <c r="A144" t="s">
        <v>1442</v>
      </c>
      <c r="B144" t="s">
        <v>2472</v>
      </c>
      <c r="C144" t="s">
        <v>146</v>
      </c>
      <c r="D144" t="s">
        <v>2472</v>
      </c>
      <c r="E144" t="s">
        <v>1663</v>
      </c>
    </row>
    <row r="145" spans="1:5" x14ac:dyDescent="0.3">
      <c r="A145" t="s">
        <v>1442</v>
      </c>
      <c r="B145" t="s">
        <v>2476</v>
      </c>
      <c r="C145" t="s">
        <v>146</v>
      </c>
      <c r="D145" t="s">
        <v>2476</v>
      </c>
      <c r="E145" t="s">
        <v>1663</v>
      </c>
    </row>
    <row r="146" spans="1:5" x14ac:dyDescent="0.3">
      <c r="A146" t="s">
        <v>1442</v>
      </c>
      <c r="B146" t="s">
        <v>2480</v>
      </c>
      <c r="C146" t="s">
        <v>146</v>
      </c>
      <c r="D146" t="s">
        <v>2480</v>
      </c>
      <c r="E146" t="s">
        <v>1663</v>
      </c>
    </row>
    <row r="147" spans="1:5" x14ac:dyDescent="0.3">
      <c r="A147" t="s">
        <v>1442</v>
      </c>
      <c r="B147" t="s">
        <v>2484</v>
      </c>
      <c r="C147" t="s">
        <v>146</v>
      </c>
      <c r="D147" t="s">
        <v>2484</v>
      </c>
      <c r="E147" t="s">
        <v>1663</v>
      </c>
    </row>
    <row r="148" spans="1:5" x14ac:dyDescent="0.3">
      <c r="A148" t="s">
        <v>1442</v>
      </c>
      <c r="B148" t="s">
        <v>2488</v>
      </c>
      <c r="C148" t="s">
        <v>146</v>
      </c>
      <c r="D148" t="s">
        <v>2488</v>
      </c>
      <c r="E148" t="s">
        <v>1663</v>
      </c>
    </row>
    <row r="149" spans="1:5" x14ac:dyDescent="0.3">
      <c r="A149" t="s">
        <v>1442</v>
      </c>
      <c r="B149" t="s">
        <v>2492</v>
      </c>
      <c r="C149" t="s">
        <v>146</v>
      </c>
      <c r="D149" t="s">
        <v>2492</v>
      </c>
      <c r="E149" t="s">
        <v>1663</v>
      </c>
    </row>
    <row r="150" spans="1:5" x14ac:dyDescent="0.3">
      <c r="A150" t="s">
        <v>1442</v>
      </c>
      <c r="B150" t="s">
        <v>2496</v>
      </c>
      <c r="C150" t="s">
        <v>146</v>
      </c>
      <c r="D150" t="s">
        <v>2496</v>
      </c>
      <c r="E150" t="s">
        <v>1663</v>
      </c>
    </row>
    <row r="151" spans="1:5" x14ac:dyDescent="0.3">
      <c r="A151" t="s">
        <v>1442</v>
      </c>
      <c r="B151" t="s">
        <v>2500</v>
      </c>
      <c r="C151" t="s">
        <v>146</v>
      </c>
      <c r="D151" t="s">
        <v>2500</v>
      </c>
      <c r="E151" t="s">
        <v>1663</v>
      </c>
    </row>
    <row r="152" spans="1:5" x14ac:dyDescent="0.3">
      <c r="A152" t="s">
        <v>1442</v>
      </c>
      <c r="B152" t="s">
        <v>2504</v>
      </c>
      <c r="C152" t="s">
        <v>146</v>
      </c>
      <c r="D152" t="s">
        <v>2504</v>
      </c>
      <c r="E152" t="s">
        <v>1663</v>
      </c>
    </row>
    <row r="153" spans="1:5" x14ac:dyDescent="0.3">
      <c r="A153" t="s">
        <v>1442</v>
      </c>
      <c r="B153" t="s">
        <v>2508</v>
      </c>
      <c r="C153" t="s">
        <v>146</v>
      </c>
      <c r="D153" t="s">
        <v>2508</v>
      </c>
      <c r="E153" t="s">
        <v>1663</v>
      </c>
    </row>
    <row r="154" spans="1:5" x14ac:dyDescent="0.3">
      <c r="A154" t="s">
        <v>1442</v>
      </c>
      <c r="B154" t="s">
        <v>2512</v>
      </c>
      <c r="C154" t="s">
        <v>146</v>
      </c>
      <c r="D154" t="s">
        <v>2512</v>
      </c>
      <c r="E154" t="s">
        <v>1663</v>
      </c>
    </row>
    <row r="155" spans="1:5" x14ac:dyDescent="0.3">
      <c r="A155" t="s">
        <v>1442</v>
      </c>
      <c r="B155" t="s">
        <v>2516</v>
      </c>
      <c r="C155" t="s">
        <v>146</v>
      </c>
      <c r="D155" t="s">
        <v>2516</v>
      </c>
      <c r="E155" t="s">
        <v>1663</v>
      </c>
    </row>
    <row r="156" spans="1:5" x14ac:dyDescent="0.3">
      <c r="A156" t="s">
        <v>1442</v>
      </c>
      <c r="B156" t="s">
        <v>2520</v>
      </c>
      <c r="C156" t="s">
        <v>146</v>
      </c>
      <c r="D156" t="s">
        <v>2520</v>
      </c>
      <c r="E156" t="s">
        <v>1663</v>
      </c>
    </row>
    <row r="157" spans="1:5" x14ac:dyDescent="0.3">
      <c r="A157" t="s">
        <v>1442</v>
      </c>
      <c r="B157" t="s">
        <v>2524</v>
      </c>
      <c r="C157" t="s">
        <v>146</v>
      </c>
      <c r="D157" t="s">
        <v>2524</v>
      </c>
      <c r="E157" t="s">
        <v>1663</v>
      </c>
    </row>
    <row r="158" spans="1:5" x14ac:dyDescent="0.3">
      <c r="A158" t="s">
        <v>1442</v>
      </c>
      <c r="B158" t="s">
        <v>2528</v>
      </c>
      <c r="C158" t="s">
        <v>146</v>
      </c>
      <c r="D158" t="s">
        <v>2528</v>
      </c>
      <c r="E158" t="s">
        <v>1663</v>
      </c>
    </row>
    <row r="159" spans="1:5" x14ac:dyDescent="0.3">
      <c r="A159" t="s">
        <v>1442</v>
      </c>
      <c r="B159" t="s">
        <v>2532</v>
      </c>
      <c r="C159" t="s">
        <v>146</v>
      </c>
      <c r="D159" t="s">
        <v>2532</v>
      </c>
      <c r="E159" t="s">
        <v>1663</v>
      </c>
    </row>
    <row r="160" spans="1:5" x14ac:dyDescent="0.3">
      <c r="A160" t="s">
        <v>1442</v>
      </c>
      <c r="B160" t="s">
        <v>2536</v>
      </c>
      <c r="C160" t="s">
        <v>146</v>
      </c>
      <c r="D160" t="s">
        <v>2536</v>
      </c>
      <c r="E160" t="s">
        <v>1663</v>
      </c>
    </row>
    <row r="161" spans="1:8" x14ac:dyDescent="0.3">
      <c r="A161" t="s">
        <v>1442</v>
      </c>
      <c r="B161" t="s">
        <v>2540</v>
      </c>
      <c r="C161" t="s">
        <v>146</v>
      </c>
      <c r="D161" t="s">
        <v>2540</v>
      </c>
      <c r="E161" t="s">
        <v>1663</v>
      </c>
    </row>
    <row r="174" spans="1:8" x14ac:dyDescent="0.3">
      <c r="H174" s="4" t="s">
        <v>918</v>
      </c>
    </row>
    <row r="176" spans="1:8" x14ac:dyDescent="0.3">
      <c r="H176" s="4" t="s">
        <v>1453</v>
      </c>
    </row>
    <row r="177" spans="8:8" x14ac:dyDescent="0.3">
      <c r="H177" t="s">
        <v>1454</v>
      </c>
    </row>
    <row r="178" spans="8:8" x14ac:dyDescent="0.3">
      <c r="H178" s="4" t="s">
        <v>1461</v>
      </c>
    </row>
    <row r="179" spans="8:8" x14ac:dyDescent="0.3">
      <c r="H179" t="s">
        <v>1462</v>
      </c>
    </row>
    <row r="180" spans="8:8" x14ac:dyDescent="0.3">
      <c r="H180" s="4" t="s">
        <v>1463</v>
      </c>
    </row>
    <row r="181" spans="8:8" x14ac:dyDescent="0.3">
      <c r="H181" t="s">
        <v>1464</v>
      </c>
    </row>
    <row r="182" spans="8:8" x14ac:dyDescent="0.3">
      <c r="H182" s="4" t="s">
        <v>1466</v>
      </c>
    </row>
    <row r="183" spans="8:8" x14ac:dyDescent="0.3">
      <c r="H183" t="s">
        <v>968</v>
      </c>
    </row>
    <row r="184" spans="8:8" x14ac:dyDescent="0.3">
      <c r="H184" s="4"/>
    </row>
    <row r="186" spans="8:8" x14ac:dyDescent="0.3">
      <c r="H186" s="4" t="s">
        <v>1481</v>
      </c>
    </row>
    <row r="187" spans="8:8" x14ac:dyDescent="0.3">
      <c r="H187" t="s">
        <v>1483</v>
      </c>
    </row>
    <row r="188" spans="8:8" x14ac:dyDescent="0.3">
      <c r="H188" s="4" t="s">
        <v>1476</v>
      </c>
    </row>
    <row r="189" spans="8:8" x14ac:dyDescent="0.3">
      <c r="H189" t="s">
        <v>1477</v>
      </c>
    </row>
    <row r="190" spans="8:8" x14ac:dyDescent="0.3">
      <c r="H190" s="4" t="s">
        <v>1478</v>
      </c>
    </row>
    <row r="191" spans="8:8" x14ac:dyDescent="0.3">
      <c r="H191" t="s">
        <v>1479</v>
      </c>
    </row>
    <row r="192" spans="8:8" x14ac:dyDescent="0.3">
      <c r="H192" s="4" t="s">
        <v>1482</v>
      </c>
    </row>
    <row r="193" spans="8:8" x14ac:dyDescent="0.3">
      <c r="H193" t="s">
        <v>655</v>
      </c>
    </row>
    <row r="194" spans="8:8" x14ac:dyDescent="0.3">
      <c r="H194" s="4" t="s">
        <v>1448</v>
      </c>
    </row>
    <row r="195" spans="8:8" x14ac:dyDescent="0.3">
      <c r="H195" t="s">
        <v>1449</v>
      </c>
    </row>
    <row r="196" spans="8:8" x14ac:dyDescent="0.3">
      <c r="H196" s="4" t="s">
        <v>1469</v>
      </c>
    </row>
    <row r="197" spans="8:8" x14ac:dyDescent="0.3">
      <c r="H197" t="s">
        <v>1470</v>
      </c>
    </row>
    <row r="198" spans="8:8" x14ac:dyDescent="0.3">
      <c r="H198" s="4" t="s">
        <v>980</v>
      </c>
    </row>
    <row r="199" spans="8:8" x14ac:dyDescent="0.3">
      <c r="H199" t="s">
        <v>981</v>
      </c>
    </row>
    <row r="200" spans="8:8" x14ac:dyDescent="0.3">
      <c r="H200" s="4"/>
    </row>
    <row r="202" spans="8:8" x14ac:dyDescent="0.3">
      <c r="H202" s="4"/>
    </row>
    <row r="204" spans="8:8" x14ac:dyDescent="0.3">
      <c r="H204" s="4"/>
    </row>
    <row r="206" spans="8:8" x14ac:dyDescent="0.3">
      <c r="H206" s="4"/>
    </row>
    <row r="208" spans="8:8" x14ac:dyDescent="0.3">
      <c r="H208" s="4"/>
    </row>
    <row r="210" spans="8:8" x14ac:dyDescent="0.3">
      <c r="H210" s="4"/>
    </row>
    <row r="212" spans="8:8" x14ac:dyDescent="0.3">
      <c r="H212" s="4"/>
    </row>
    <row r="214" spans="8:8" x14ac:dyDescent="0.3">
      <c r="H214" s="4"/>
    </row>
    <row r="216" spans="8:8" x14ac:dyDescent="0.3">
      <c r="H216" s="4"/>
    </row>
    <row r="218" spans="8:8" x14ac:dyDescent="0.3">
      <c r="H218" s="4"/>
    </row>
    <row r="220" spans="8:8" x14ac:dyDescent="0.3">
      <c r="H220" s="4"/>
    </row>
    <row r="222" spans="8:8" x14ac:dyDescent="0.3">
      <c r="H222" s="4"/>
    </row>
    <row r="224" spans="8:8" x14ac:dyDescent="0.3">
      <c r="H224" s="4"/>
    </row>
    <row r="226" spans="8:8" x14ac:dyDescent="0.3">
      <c r="H226" s="4"/>
    </row>
    <row r="228" spans="8:8" x14ac:dyDescent="0.3">
      <c r="H228" s="4"/>
    </row>
    <row r="230" spans="8:8" x14ac:dyDescent="0.3">
      <c r="H230" s="4"/>
    </row>
    <row r="232" spans="8:8" x14ac:dyDescent="0.3">
      <c r="H232" s="4"/>
    </row>
    <row r="234" spans="8:8" x14ac:dyDescent="0.3">
      <c r="H234" s="4"/>
    </row>
    <row r="236" spans="8:8" x14ac:dyDescent="0.3">
      <c r="H236" s="4"/>
    </row>
    <row r="238" spans="8:8" x14ac:dyDescent="0.3">
      <c r="H238" s="4"/>
    </row>
    <row r="240" spans="8:8" x14ac:dyDescent="0.3">
      <c r="H240" s="4"/>
    </row>
    <row r="242" spans="8:8" x14ac:dyDescent="0.3">
      <c r="H242" s="4"/>
    </row>
    <row r="244" spans="8:8" x14ac:dyDescent="0.3">
      <c r="H244" s="4"/>
    </row>
    <row r="246" spans="8:8" x14ac:dyDescent="0.3">
      <c r="H246" s="4"/>
    </row>
    <row r="248" spans="8:8" x14ac:dyDescent="0.3">
      <c r="H248" s="4"/>
    </row>
    <row r="250" spans="8:8" x14ac:dyDescent="0.3">
      <c r="H250" s="4"/>
    </row>
    <row r="252" spans="8:8" x14ac:dyDescent="0.3">
      <c r="H252" s="4"/>
    </row>
    <row r="254" spans="8:8" x14ac:dyDescent="0.3">
      <c r="H254" s="4"/>
    </row>
    <row r="256" spans="8:8" x14ac:dyDescent="0.3">
      <c r="H256" s="4"/>
    </row>
    <row r="258" spans="8:8" x14ac:dyDescent="0.3">
      <c r="H258" s="4"/>
    </row>
    <row r="260" spans="8:8" x14ac:dyDescent="0.3">
      <c r="H260" s="4"/>
    </row>
    <row r="262" spans="8:8" x14ac:dyDescent="0.3">
      <c r="H262" s="4"/>
    </row>
    <row r="264" spans="8:8" x14ac:dyDescent="0.3">
      <c r="H264" s="4"/>
    </row>
    <row r="266" spans="8:8" x14ac:dyDescent="0.3">
      <c r="H266" s="4"/>
    </row>
    <row r="268" spans="8:8" x14ac:dyDescent="0.3">
      <c r="H268" s="4"/>
    </row>
    <row r="270" spans="8:8" x14ac:dyDescent="0.3">
      <c r="H270" s="4"/>
    </row>
    <row r="272" spans="8:8" x14ac:dyDescent="0.3">
      <c r="H272" s="4"/>
    </row>
    <row r="274" spans="8:8" x14ac:dyDescent="0.3">
      <c r="H274" s="4"/>
    </row>
    <row r="276" spans="8:8" x14ac:dyDescent="0.3">
      <c r="H276" s="4"/>
    </row>
    <row r="278" spans="8:8" x14ac:dyDescent="0.3">
      <c r="H278" s="4"/>
    </row>
    <row r="280" spans="8:8" x14ac:dyDescent="0.3">
      <c r="H280" s="4"/>
    </row>
    <row r="282" spans="8:8" x14ac:dyDescent="0.3">
      <c r="H282" s="4"/>
    </row>
    <row r="284" spans="8:8" x14ac:dyDescent="0.3">
      <c r="H284" s="4"/>
    </row>
    <row r="286" spans="8:8" x14ac:dyDescent="0.3">
      <c r="H286" s="4"/>
    </row>
    <row r="288" spans="8:8" x14ac:dyDescent="0.3">
      <c r="H288" s="4"/>
    </row>
    <row r="290" spans="8:8" x14ac:dyDescent="0.3">
      <c r="H290" s="4"/>
    </row>
    <row r="292" spans="8:8" x14ac:dyDescent="0.3">
      <c r="H292" s="4"/>
    </row>
    <row r="294" spans="8:8" x14ac:dyDescent="0.3">
      <c r="H294" s="4"/>
    </row>
    <row r="296" spans="8:8" x14ac:dyDescent="0.3">
      <c r="H296" s="4"/>
    </row>
    <row r="298" spans="8:8" x14ac:dyDescent="0.3">
      <c r="H298" s="4"/>
    </row>
    <row r="300" spans="8:8" x14ac:dyDescent="0.3">
      <c r="H300" s="4"/>
    </row>
    <row r="302" spans="8:8" x14ac:dyDescent="0.3">
      <c r="H302" s="4"/>
    </row>
    <row r="304" spans="8:8" x14ac:dyDescent="0.3">
      <c r="H304" s="4"/>
    </row>
    <row r="306" spans="8:8" x14ac:dyDescent="0.3">
      <c r="H306" s="4"/>
    </row>
    <row r="308" spans="8:8" x14ac:dyDescent="0.3">
      <c r="H308" s="4"/>
    </row>
    <row r="310" spans="8:8" x14ac:dyDescent="0.3">
      <c r="H310" s="4"/>
    </row>
    <row r="312" spans="8:8" x14ac:dyDescent="0.3">
      <c r="H312" s="4"/>
    </row>
    <row r="314" spans="8:8" x14ac:dyDescent="0.3">
      <c r="H314" s="4"/>
    </row>
    <row r="316" spans="8:8" x14ac:dyDescent="0.3">
      <c r="H316" s="4"/>
    </row>
    <row r="318" spans="8:8" x14ac:dyDescent="0.3">
      <c r="H318" s="4"/>
    </row>
    <row r="320" spans="8:8" x14ac:dyDescent="0.3">
      <c r="H320" s="4"/>
    </row>
    <row r="322" spans="8:8" x14ac:dyDescent="0.3">
      <c r="H322" s="4"/>
    </row>
    <row r="324" spans="8:8" x14ac:dyDescent="0.3">
      <c r="H324" s="4"/>
    </row>
    <row r="326" spans="8:8" x14ac:dyDescent="0.3">
      <c r="H326" s="4"/>
    </row>
    <row r="328" spans="8:8" x14ac:dyDescent="0.3">
      <c r="H328" s="4"/>
    </row>
    <row r="330" spans="8:8" x14ac:dyDescent="0.3">
      <c r="H330" s="4"/>
    </row>
    <row r="332" spans="8:8" x14ac:dyDescent="0.3">
      <c r="H332" s="4"/>
    </row>
    <row r="333" spans="8:8" x14ac:dyDescent="0.3">
      <c r="H33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958FC-2853-46BE-B20B-C1BE4D5E1D50}">
  <sheetPr codeName="Sheet19">
    <tabColor theme="9" tint="0.79998168889431442"/>
  </sheetPr>
  <dimension ref="A1:T212"/>
  <sheetViews>
    <sheetView zoomScale="85" zoomScaleNormal="85" workbookViewId="0">
      <selection activeCell="A2" sqref="A2:A160"/>
    </sheetView>
  </sheetViews>
  <sheetFormatPr defaultRowHeight="15" customHeight="1" x14ac:dyDescent="0.3"/>
  <cols>
    <col min="1" max="1" width="18.375" bestFit="1" customWidth="1"/>
    <col min="2" max="2" width="9.5" bestFit="1" customWidth="1"/>
    <col min="3" max="3" width="23.5" customWidth="1"/>
    <col min="4" max="4" width="22.375" bestFit="1" customWidth="1"/>
    <col min="5" max="5" width="16" bestFit="1" customWidth="1"/>
    <col min="6" max="6" width="31.375" customWidth="1"/>
    <col min="7" max="7" width="22.375" bestFit="1" customWidth="1"/>
    <col min="8" max="8" width="16" bestFit="1" customWidth="1"/>
    <col min="9" max="10" width="16" customWidth="1"/>
    <col min="11" max="11" width="19.875" bestFit="1" customWidth="1"/>
    <col min="12" max="12" width="18.375" bestFit="1" customWidth="1"/>
    <col min="13" max="13" width="6.375" bestFit="1" customWidth="1"/>
    <col min="14" max="14" width="25.625" customWidth="1"/>
    <col min="15" max="15" width="17.25" bestFit="1" customWidth="1"/>
    <col min="16" max="16" width="22" bestFit="1" customWidth="1"/>
    <col min="17" max="17" width="19.875" bestFit="1" customWidth="1"/>
    <col min="18" max="18" width="9.5" bestFit="1" customWidth="1"/>
    <col min="19" max="19" width="19.125" bestFit="1" customWidth="1"/>
    <col min="20" max="24" width="13.5" customWidth="1"/>
    <col min="25" max="25" width="21.75" bestFit="1" customWidth="1"/>
    <col min="26" max="26" width="21.75" customWidth="1"/>
    <col min="27" max="27" width="8" bestFit="1" customWidth="1"/>
    <col min="28" max="28" width="23.875" bestFit="1" customWidth="1"/>
    <col min="29" max="29" width="20.25" bestFit="1" customWidth="1"/>
    <col min="30" max="30" width="30.5" bestFit="1" customWidth="1"/>
    <col min="31" max="31" width="10.625" bestFit="1" customWidth="1"/>
    <col min="32" max="32" width="15.5" bestFit="1" customWidth="1"/>
    <col min="33" max="33" width="15.5" customWidth="1"/>
    <col min="34" max="34" width="15.5" bestFit="1" customWidth="1"/>
    <col min="35" max="35" width="15.5" customWidth="1"/>
    <col min="36" max="36" width="16.875" bestFit="1" customWidth="1"/>
    <col min="37" max="37" width="22.5" bestFit="1" customWidth="1"/>
    <col min="38" max="38" width="23.25" bestFit="1" customWidth="1"/>
    <col min="39" max="40" width="16" bestFit="1" customWidth="1"/>
    <col min="41" max="41" width="81" customWidth="1"/>
    <col min="42" max="42" width="8.5" bestFit="1" customWidth="1"/>
    <col min="43" max="43" width="20.875" bestFit="1" customWidth="1"/>
    <col min="44" max="44" width="81" bestFit="1" customWidth="1"/>
  </cols>
  <sheetData>
    <row r="1" spans="1:20" ht="15" customHeight="1" x14ac:dyDescent="0.3">
      <c r="A1" t="s">
        <v>5</v>
      </c>
      <c r="B1" t="s">
        <v>34</v>
      </c>
      <c r="C1" t="s">
        <v>33</v>
      </c>
      <c r="D1" t="s">
        <v>1500</v>
      </c>
      <c r="E1" t="s">
        <v>1499</v>
      </c>
      <c r="F1" t="s">
        <v>1666</v>
      </c>
      <c r="G1" t="s">
        <v>1667</v>
      </c>
      <c r="H1" t="s">
        <v>1668</v>
      </c>
      <c r="I1" t="s">
        <v>1669</v>
      </c>
      <c r="J1" t="s">
        <v>1670</v>
      </c>
      <c r="L1" t="s">
        <v>5</v>
      </c>
      <c r="M1" t="s">
        <v>34</v>
      </c>
      <c r="N1" t="s">
        <v>33</v>
      </c>
      <c r="O1" t="s">
        <v>1666</v>
      </c>
      <c r="P1" t="s">
        <v>1667</v>
      </c>
      <c r="Q1" t="s">
        <v>1668</v>
      </c>
      <c r="R1" t="s">
        <v>132</v>
      </c>
      <c r="S1" t="s">
        <v>1671</v>
      </c>
      <c r="T1" t="s">
        <v>1672</v>
      </c>
    </row>
    <row r="2" spans="1:20" ht="15" customHeight="1" x14ac:dyDescent="0.3">
      <c r="A2" t="s">
        <v>1776</v>
      </c>
      <c r="B2" t="s">
        <v>3367</v>
      </c>
      <c r="C2" t="s">
        <v>3208</v>
      </c>
      <c r="F2" t="s">
        <v>2610</v>
      </c>
      <c r="G2" t="s">
        <v>176</v>
      </c>
      <c r="H2" t="s">
        <v>1778</v>
      </c>
      <c r="I2" t="s">
        <v>1437</v>
      </c>
      <c r="J2" t="s">
        <v>2611</v>
      </c>
      <c r="L2" t="s">
        <v>1776</v>
      </c>
      <c r="M2" t="s">
        <v>3367</v>
      </c>
      <c r="N2" t="s">
        <v>1777</v>
      </c>
      <c r="O2" t="s">
        <v>1673</v>
      </c>
      <c r="P2" t="s">
        <v>1674</v>
      </c>
      <c r="Q2" t="s">
        <v>1778</v>
      </c>
      <c r="R2" t="s">
        <v>604</v>
      </c>
      <c r="S2" t="s">
        <v>1779</v>
      </c>
      <c r="T2" t="s">
        <v>1675</v>
      </c>
    </row>
    <row r="3" spans="1:20" ht="15" customHeight="1" x14ac:dyDescent="0.3">
      <c r="A3" t="s">
        <v>1780</v>
      </c>
      <c r="B3" t="s">
        <v>3367</v>
      </c>
      <c r="C3" t="s">
        <v>3209</v>
      </c>
      <c r="F3" t="s">
        <v>2610</v>
      </c>
      <c r="G3" t="s">
        <v>176</v>
      </c>
      <c r="H3" t="s">
        <v>1782</v>
      </c>
      <c r="I3" t="s">
        <v>1437</v>
      </c>
      <c r="J3" t="s">
        <v>2611</v>
      </c>
      <c r="L3" t="s">
        <v>1780</v>
      </c>
      <c r="M3" t="s">
        <v>3367</v>
      </c>
      <c r="N3" t="s">
        <v>1781</v>
      </c>
      <c r="O3" t="s">
        <v>1673</v>
      </c>
      <c r="P3" t="s">
        <v>1674</v>
      </c>
      <c r="Q3" t="s">
        <v>1782</v>
      </c>
      <c r="R3" t="s">
        <v>604</v>
      </c>
      <c r="S3" t="s">
        <v>1783</v>
      </c>
      <c r="T3" t="s">
        <v>1676</v>
      </c>
    </row>
    <row r="4" spans="1:20" ht="15" customHeight="1" x14ac:dyDescent="0.3">
      <c r="A4" t="s">
        <v>1784</v>
      </c>
      <c r="B4" t="s">
        <v>3367</v>
      </c>
      <c r="C4" t="s">
        <v>3210</v>
      </c>
      <c r="F4" t="s">
        <v>2612</v>
      </c>
      <c r="G4" t="s">
        <v>176</v>
      </c>
      <c r="H4" t="s">
        <v>1786</v>
      </c>
      <c r="I4" t="s">
        <v>1437</v>
      </c>
      <c r="J4" t="s">
        <v>2613</v>
      </c>
      <c r="L4" t="s">
        <v>1784</v>
      </c>
      <c r="M4" t="s">
        <v>3367</v>
      </c>
      <c r="N4" t="s">
        <v>1785</v>
      </c>
      <c r="O4" t="s">
        <v>1673</v>
      </c>
      <c r="P4" t="s">
        <v>1674</v>
      </c>
      <c r="Q4" t="s">
        <v>1786</v>
      </c>
      <c r="R4" t="s">
        <v>604</v>
      </c>
      <c r="S4" t="s">
        <v>1787</v>
      </c>
      <c r="T4" t="s">
        <v>1677</v>
      </c>
    </row>
    <row r="5" spans="1:20" ht="15" customHeight="1" x14ac:dyDescent="0.3">
      <c r="A5" t="s">
        <v>1788</v>
      </c>
      <c r="B5" t="s">
        <v>3367</v>
      </c>
      <c r="C5" t="s">
        <v>3211</v>
      </c>
      <c r="F5" t="s">
        <v>2612</v>
      </c>
      <c r="G5" t="s">
        <v>176</v>
      </c>
      <c r="H5" t="s">
        <v>1790</v>
      </c>
      <c r="I5" t="s">
        <v>1437</v>
      </c>
      <c r="J5" t="s">
        <v>2613</v>
      </c>
      <c r="L5" t="s">
        <v>1788</v>
      </c>
      <c r="M5" t="s">
        <v>3367</v>
      </c>
      <c r="N5" t="s">
        <v>1789</v>
      </c>
      <c r="O5" t="s">
        <v>1673</v>
      </c>
      <c r="P5" t="s">
        <v>1674</v>
      </c>
      <c r="Q5" t="s">
        <v>1790</v>
      </c>
      <c r="R5" t="s">
        <v>604</v>
      </c>
      <c r="S5" t="s">
        <v>1791</v>
      </c>
      <c r="T5" t="s">
        <v>1678</v>
      </c>
    </row>
    <row r="6" spans="1:20" ht="15" customHeight="1" x14ac:dyDescent="0.3">
      <c r="A6" t="s">
        <v>1792</v>
      </c>
      <c r="B6" t="s">
        <v>3367</v>
      </c>
      <c r="C6" t="s">
        <v>3212</v>
      </c>
      <c r="F6" t="s">
        <v>2610</v>
      </c>
      <c r="G6" t="s">
        <v>176</v>
      </c>
      <c r="H6" t="s">
        <v>1794</v>
      </c>
      <c r="I6" t="s">
        <v>1437</v>
      </c>
      <c r="J6" t="s">
        <v>2611</v>
      </c>
      <c r="L6" t="s">
        <v>1792</v>
      </c>
      <c r="M6" t="s">
        <v>3367</v>
      </c>
      <c r="N6" t="s">
        <v>1793</v>
      </c>
      <c r="O6" t="s">
        <v>1673</v>
      </c>
      <c r="P6" t="s">
        <v>1674</v>
      </c>
      <c r="Q6" t="s">
        <v>1794</v>
      </c>
      <c r="R6" t="s">
        <v>604</v>
      </c>
      <c r="S6" t="s">
        <v>1795</v>
      </c>
      <c r="T6" t="s">
        <v>1679</v>
      </c>
    </row>
    <row r="7" spans="1:20" ht="15" customHeight="1" x14ac:dyDescent="0.3">
      <c r="A7" t="s">
        <v>1796</v>
      </c>
      <c r="B7" t="s">
        <v>3367</v>
      </c>
      <c r="C7" t="s">
        <v>3213</v>
      </c>
      <c r="F7" t="s">
        <v>2610</v>
      </c>
      <c r="G7" t="s">
        <v>176</v>
      </c>
      <c r="H7" t="s">
        <v>1798</v>
      </c>
      <c r="I7" t="s">
        <v>1437</v>
      </c>
      <c r="J7" t="s">
        <v>2611</v>
      </c>
      <c r="L7" t="s">
        <v>1796</v>
      </c>
      <c r="M7" t="s">
        <v>3367</v>
      </c>
      <c r="N7" t="s">
        <v>1797</v>
      </c>
      <c r="O7" t="s">
        <v>1673</v>
      </c>
      <c r="P7" t="s">
        <v>1674</v>
      </c>
      <c r="Q7" t="s">
        <v>1798</v>
      </c>
      <c r="R7" t="s">
        <v>604</v>
      </c>
      <c r="S7" t="s">
        <v>1799</v>
      </c>
      <c r="T7" t="s">
        <v>1680</v>
      </c>
    </row>
    <row r="8" spans="1:20" ht="15" customHeight="1" x14ac:dyDescent="0.3">
      <c r="A8" t="s">
        <v>1800</v>
      </c>
      <c r="B8" t="s">
        <v>3367</v>
      </c>
      <c r="C8" t="s">
        <v>3214</v>
      </c>
      <c r="F8" t="s">
        <v>2610</v>
      </c>
      <c r="G8" t="s">
        <v>176</v>
      </c>
      <c r="H8" t="s">
        <v>1802</v>
      </c>
      <c r="I8" t="s">
        <v>1437</v>
      </c>
      <c r="J8" t="s">
        <v>2611</v>
      </c>
      <c r="L8" t="s">
        <v>1800</v>
      </c>
      <c r="M8" t="s">
        <v>3367</v>
      </c>
      <c r="N8" t="s">
        <v>1801</v>
      </c>
      <c r="O8" t="s">
        <v>1673</v>
      </c>
      <c r="P8" t="s">
        <v>1674</v>
      </c>
      <c r="Q8" t="s">
        <v>1802</v>
      </c>
      <c r="R8" t="s">
        <v>604</v>
      </c>
      <c r="S8" t="s">
        <v>1803</v>
      </c>
      <c r="T8" t="s">
        <v>1681</v>
      </c>
    </row>
    <row r="9" spans="1:20" ht="15" customHeight="1" x14ac:dyDescent="0.3">
      <c r="A9" t="s">
        <v>1804</v>
      </c>
      <c r="B9" t="s">
        <v>3367</v>
      </c>
      <c r="C9" t="s">
        <v>3215</v>
      </c>
      <c r="F9" t="s">
        <v>2612</v>
      </c>
      <c r="G9" t="s">
        <v>176</v>
      </c>
      <c r="H9" t="s">
        <v>1806</v>
      </c>
      <c r="I9" t="s">
        <v>1437</v>
      </c>
      <c r="J9" t="s">
        <v>2613</v>
      </c>
      <c r="L9" t="s">
        <v>1804</v>
      </c>
      <c r="M9" t="s">
        <v>3367</v>
      </c>
      <c r="N9" t="s">
        <v>1805</v>
      </c>
      <c r="O9" t="s">
        <v>1673</v>
      </c>
      <c r="P9" t="s">
        <v>1674</v>
      </c>
      <c r="Q9" t="s">
        <v>1806</v>
      </c>
      <c r="R9" t="s">
        <v>604</v>
      </c>
      <c r="S9" t="s">
        <v>1807</v>
      </c>
      <c r="T9" t="s">
        <v>1682</v>
      </c>
    </row>
    <row r="10" spans="1:20" ht="15" customHeight="1" x14ac:dyDescent="0.3">
      <c r="A10" t="s">
        <v>1808</v>
      </c>
      <c r="B10" t="s">
        <v>3367</v>
      </c>
      <c r="C10" t="s">
        <v>3216</v>
      </c>
      <c r="F10" t="s">
        <v>2612</v>
      </c>
      <c r="G10" t="s">
        <v>176</v>
      </c>
      <c r="H10" t="s">
        <v>1810</v>
      </c>
      <c r="I10" t="s">
        <v>1437</v>
      </c>
      <c r="J10" t="s">
        <v>2613</v>
      </c>
      <c r="L10" t="s">
        <v>1808</v>
      </c>
      <c r="M10" t="s">
        <v>3367</v>
      </c>
      <c r="N10" t="s">
        <v>1809</v>
      </c>
      <c r="O10" t="s">
        <v>1673</v>
      </c>
      <c r="P10" t="s">
        <v>1674</v>
      </c>
      <c r="Q10" t="s">
        <v>1810</v>
      </c>
      <c r="R10" t="s">
        <v>604</v>
      </c>
      <c r="S10" t="s">
        <v>1811</v>
      </c>
      <c r="T10" t="s">
        <v>1683</v>
      </c>
    </row>
    <row r="11" spans="1:20" ht="15" customHeight="1" x14ac:dyDescent="0.3">
      <c r="A11" t="s">
        <v>1812</v>
      </c>
      <c r="B11" t="s">
        <v>3367</v>
      </c>
      <c r="C11" t="s">
        <v>3217</v>
      </c>
      <c r="F11" t="s">
        <v>2610</v>
      </c>
      <c r="G11" t="s">
        <v>176</v>
      </c>
      <c r="H11" t="s">
        <v>1814</v>
      </c>
      <c r="I11" t="s">
        <v>1437</v>
      </c>
      <c r="J11" t="s">
        <v>2611</v>
      </c>
      <c r="L11" t="s">
        <v>1812</v>
      </c>
      <c r="M11" t="s">
        <v>3367</v>
      </c>
      <c r="N11" t="s">
        <v>1813</v>
      </c>
      <c r="O11" t="s">
        <v>1673</v>
      </c>
      <c r="P11" t="s">
        <v>1674</v>
      </c>
      <c r="Q11" t="s">
        <v>1814</v>
      </c>
      <c r="R11" t="s">
        <v>604</v>
      </c>
      <c r="S11" t="s">
        <v>1815</v>
      </c>
      <c r="T11" t="s">
        <v>1684</v>
      </c>
    </row>
    <row r="12" spans="1:20" ht="15" customHeight="1" x14ac:dyDescent="0.3">
      <c r="A12" t="s">
        <v>1816</v>
      </c>
      <c r="B12" t="s">
        <v>3367</v>
      </c>
      <c r="C12" t="s">
        <v>3218</v>
      </c>
      <c r="F12" t="s">
        <v>2610</v>
      </c>
      <c r="G12" t="s">
        <v>176</v>
      </c>
      <c r="H12" t="s">
        <v>1818</v>
      </c>
      <c r="I12" t="s">
        <v>1437</v>
      </c>
      <c r="J12" t="s">
        <v>2611</v>
      </c>
      <c r="L12" t="s">
        <v>1816</v>
      </c>
      <c r="M12" t="s">
        <v>3367</v>
      </c>
      <c r="N12" t="s">
        <v>1817</v>
      </c>
      <c r="O12" t="s">
        <v>1673</v>
      </c>
      <c r="P12" t="s">
        <v>1674</v>
      </c>
      <c r="Q12" t="s">
        <v>1818</v>
      </c>
      <c r="R12" t="s">
        <v>604</v>
      </c>
      <c r="S12" t="s">
        <v>1819</v>
      </c>
      <c r="T12" t="s">
        <v>1685</v>
      </c>
    </row>
    <row r="13" spans="1:20" ht="15" customHeight="1" x14ac:dyDescent="0.3">
      <c r="A13" t="s">
        <v>1820</v>
      </c>
      <c r="B13" t="s">
        <v>3367</v>
      </c>
      <c r="C13" t="s">
        <v>3219</v>
      </c>
      <c r="F13" t="s">
        <v>2610</v>
      </c>
      <c r="G13" t="s">
        <v>176</v>
      </c>
      <c r="H13" t="s">
        <v>1822</v>
      </c>
      <c r="I13" t="s">
        <v>1437</v>
      </c>
      <c r="J13" t="s">
        <v>2611</v>
      </c>
      <c r="L13" t="s">
        <v>1820</v>
      </c>
      <c r="M13" t="s">
        <v>3367</v>
      </c>
      <c r="N13" t="s">
        <v>1821</v>
      </c>
      <c r="O13" t="s">
        <v>1673</v>
      </c>
      <c r="P13" t="s">
        <v>1674</v>
      </c>
      <c r="Q13" t="s">
        <v>1822</v>
      </c>
      <c r="R13" t="s">
        <v>604</v>
      </c>
      <c r="S13" t="s">
        <v>1823</v>
      </c>
      <c r="T13" t="s">
        <v>1686</v>
      </c>
    </row>
    <row r="14" spans="1:20" ht="15" customHeight="1" x14ac:dyDescent="0.3">
      <c r="A14" t="s">
        <v>1824</v>
      </c>
      <c r="B14" t="s">
        <v>3367</v>
      </c>
      <c r="C14" t="s">
        <v>3220</v>
      </c>
      <c r="F14" t="s">
        <v>2610</v>
      </c>
      <c r="G14" t="s">
        <v>176</v>
      </c>
      <c r="H14" t="s">
        <v>1826</v>
      </c>
      <c r="I14" t="s">
        <v>1437</v>
      </c>
      <c r="J14" t="s">
        <v>2611</v>
      </c>
      <c r="L14" t="s">
        <v>1824</v>
      </c>
      <c r="M14" t="s">
        <v>3367</v>
      </c>
      <c r="N14" t="s">
        <v>1825</v>
      </c>
      <c r="O14" t="s">
        <v>1673</v>
      </c>
      <c r="P14" t="s">
        <v>1674</v>
      </c>
      <c r="Q14" t="s">
        <v>1826</v>
      </c>
      <c r="R14" t="s">
        <v>604</v>
      </c>
      <c r="S14" t="s">
        <v>1827</v>
      </c>
      <c r="T14" t="s">
        <v>1687</v>
      </c>
    </row>
    <row r="15" spans="1:20" ht="15" customHeight="1" x14ac:dyDescent="0.3">
      <c r="A15" t="s">
        <v>1828</v>
      </c>
      <c r="B15" t="s">
        <v>3367</v>
      </c>
      <c r="C15" t="s">
        <v>3221</v>
      </c>
      <c r="F15" t="s">
        <v>2610</v>
      </c>
      <c r="G15" t="s">
        <v>176</v>
      </c>
      <c r="H15" t="s">
        <v>1830</v>
      </c>
      <c r="I15" t="s">
        <v>1437</v>
      </c>
      <c r="J15" t="s">
        <v>2611</v>
      </c>
      <c r="L15" t="s">
        <v>1828</v>
      </c>
      <c r="M15" t="s">
        <v>3367</v>
      </c>
      <c r="N15" t="s">
        <v>1829</v>
      </c>
      <c r="O15" t="s">
        <v>1673</v>
      </c>
      <c r="P15" t="s">
        <v>1674</v>
      </c>
      <c r="Q15" t="s">
        <v>1830</v>
      </c>
      <c r="R15" t="s">
        <v>604</v>
      </c>
      <c r="S15" t="s">
        <v>1831</v>
      </c>
      <c r="T15" t="s">
        <v>1688</v>
      </c>
    </row>
    <row r="16" spans="1:20" ht="15" customHeight="1" x14ac:dyDescent="0.3">
      <c r="A16" t="s">
        <v>1832</v>
      </c>
      <c r="B16" t="s">
        <v>3367</v>
      </c>
      <c r="C16" t="s">
        <v>3222</v>
      </c>
      <c r="F16" t="s">
        <v>2610</v>
      </c>
      <c r="G16" t="s">
        <v>176</v>
      </c>
      <c r="H16" t="s">
        <v>1834</v>
      </c>
      <c r="I16" t="s">
        <v>1437</v>
      </c>
      <c r="J16" t="s">
        <v>2611</v>
      </c>
      <c r="L16" t="s">
        <v>1832</v>
      </c>
      <c r="M16" t="s">
        <v>3367</v>
      </c>
      <c r="N16" t="s">
        <v>1833</v>
      </c>
      <c r="O16" t="s">
        <v>1673</v>
      </c>
      <c r="P16" t="s">
        <v>1674</v>
      </c>
      <c r="Q16" t="s">
        <v>1834</v>
      </c>
      <c r="R16" t="s">
        <v>604</v>
      </c>
      <c r="S16" t="s">
        <v>1835</v>
      </c>
      <c r="T16" t="s">
        <v>1689</v>
      </c>
    </row>
    <row r="17" spans="1:20" ht="15" customHeight="1" x14ac:dyDescent="0.3">
      <c r="A17" t="s">
        <v>1836</v>
      </c>
      <c r="B17" t="s">
        <v>3367</v>
      </c>
      <c r="C17" t="s">
        <v>3223</v>
      </c>
      <c r="F17" t="s">
        <v>2610</v>
      </c>
      <c r="G17" t="s">
        <v>176</v>
      </c>
      <c r="H17" t="s">
        <v>1838</v>
      </c>
      <c r="I17" t="s">
        <v>1437</v>
      </c>
      <c r="J17" t="s">
        <v>2611</v>
      </c>
      <c r="L17" t="s">
        <v>1836</v>
      </c>
      <c r="M17" t="s">
        <v>3367</v>
      </c>
      <c r="N17" t="s">
        <v>1837</v>
      </c>
      <c r="O17" t="s">
        <v>1673</v>
      </c>
      <c r="P17" t="s">
        <v>1674</v>
      </c>
      <c r="Q17" t="s">
        <v>1838</v>
      </c>
      <c r="R17" t="s">
        <v>604</v>
      </c>
      <c r="S17" t="s">
        <v>1839</v>
      </c>
      <c r="T17" t="s">
        <v>1690</v>
      </c>
    </row>
    <row r="18" spans="1:20" ht="15" customHeight="1" x14ac:dyDescent="0.3">
      <c r="A18" t="s">
        <v>1840</v>
      </c>
      <c r="B18" t="s">
        <v>3367</v>
      </c>
      <c r="C18" t="s">
        <v>3224</v>
      </c>
      <c r="F18" t="s">
        <v>2610</v>
      </c>
      <c r="G18" t="s">
        <v>176</v>
      </c>
      <c r="H18" t="s">
        <v>1842</v>
      </c>
      <c r="I18" t="s">
        <v>1437</v>
      </c>
      <c r="J18" t="s">
        <v>2611</v>
      </c>
      <c r="L18" t="s">
        <v>1840</v>
      </c>
      <c r="M18" t="s">
        <v>3367</v>
      </c>
      <c r="N18" t="s">
        <v>1841</v>
      </c>
      <c r="O18" t="s">
        <v>1673</v>
      </c>
      <c r="P18" t="s">
        <v>1674</v>
      </c>
      <c r="Q18" t="s">
        <v>1842</v>
      </c>
      <c r="R18" t="s">
        <v>604</v>
      </c>
      <c r="S18" t="s">
        <v>1843</v>
      </c>
      <c r="T18" t="s">
        <v>1691</v>
      </c>
    </row>
    <row r="19" spans="1:20" ht="15" customHeight="1" x14ac:dyDescent="0.3">
      <c r="A19" t="s">
        <v>1844</v>
      </c>
      <c r="B19" t="s">
        <v>3367</v>
      </c>
      <c r="C19" t="s">
        <v>3225</v>
      </c>
      <c r="F19" t="s">
        <v>2610</v>
      </c>
      <c r="G19" t="s">
        <v>176</v>
      </c>
      <c r="H19" t="s">
        <v>1846</v>
      </c>
      <c r="I19" t="s">
        <v>1437</v>
      </c>
      <c r="J19" t="s">
        <v>2611</v>
      </c>
      <c r="L19" t="s">
        <v>1844</v>
      </c>
      <c r="M19" t="s">
        <v>3367</v>
      </c>
      <c r="N19" t="s">
        <v>1845</v>
      </c>
      <c r="O19" t="s">
        <v>1673</v>
      </c>
      <c r="P19" t="s">
        <v>1674</v>
      </c>
      <c r="Q19" t="s">
        <v>1846</v>
      </c>
      <c r="R19" t="s">
        <v>604</v>
      </c>
      <c r="S19" t="s">
        <v>1847</v>
      </c>
      <c r="T19" t="s">
        <v>1692</v>
      </c>
    </row>
    <row r="20" spans="1:20" ht="15" customHeight="1" x14ac:dyDescent="0.3">
      <c r="A20" t="s">
        <v>1848</v>
      </c>
      <c r="B20" t="s">
        <v>3367</v>
      </c>
      <c r="C20" t="s">
        <v>3226</v>
      </c>
      <c r="F20" t="s">
        <v>2610</v>
      </c>
      <c r="G20" t="s">
        <v>176</v>
      </c>
      <c r="H20" t="s">
        <v>1850</v>
      </c>
      <c r="I20" t="s">
        <v>1437</v>
      </c>
      <c r="J20" t="s">
        <v>2611</v>
      </c>
      <c r="L20" t="s">
        <v>1848</v>
      </c>
      <c r="M20" t="s">
        <v>3367</v>
      </c>
      <c r="N20" t="s">
        <v>1849</v>
      </c>
      <c r="O20" t="s">
        <v>1673</v>
      </c>
      <c r="P20" t="s">
        <v>1674</v>
      </c>
      <c r="Q20" t="s">
        <v>1850</v>
      </c>
      <c r="R20" t="s">
        <v>604</v>
      </c>
      <c r="S20" t="s">
        <v>1851</v>
      </c>
      <c r="T20" t="s">
        <v>1693</v>
      </c>
    </row>
    <row r="21" spans="1:20" ht="15" customHeight="1" x14ac:dyDescent="0.3">
      <c r="A21" t="s">
        <v>1852</v>
      </c>
      <c r="B21" t="s">
        <v>3367</v>
      </c>
      <c r="C21" t="s">
        <v>3227</v>
      </c>
      <c r="F21" t="s">
        <v>2610</v>
      </c>
      <c r="G21" t="s">
        <v>176</v>
      </c>
      <c r="H21" t="s">
        <v>1854</v>
      </c>
      <c r="I21" t="s">
        <v>1437</v>
      </c>
      <c r="J21" t="s">
        <v>2611</v>
      </c>
      <c r="L21" t="s">
        <v>1852</v>
      </c>
      <c r="M21" t="s">
        <v>3367</v>
      </c>
      <c r="N21" t="s">
        <v>1853</v>
      </c>
      <c r="O21" t="s">
        <v>1673</v>
      </c>
      <c r="P21" t="s">
        <v>1674</v>
      </c>
      <c r="Q21" t="s">
        <v>1854</v>
      </c>
      <c r="R21" t="s">
        <v>604</v>
      </c>
      <c r="S21" t="s">
        <v>1855</v>
      </c>
      <c r="T21" t="s">
        <v>1694</v>
      </c>
    </row>
    <row r="22" spans="1:20" ht="15" customHeight="1" x14ac:dyDescent="0.3">
      <c r="A22" t="s">
        <v>1856</v>
      </c>
      <c r="B22" t="s">
        <v>3367</v>
      </c>
      <c r="C22" t="s">
        <v>3228</v>
      </c>
      <c r="F22" t="s">
        <v>2610</v>
      </c>
      <c r="G22" t="s">
        <v>176</v>
      </c>
      <c r="H22" t="s">
        <v>1858</v>
      </c>
      <c r="I22" t="s">
        <v>1437</v>
      </c>
      <c r="J22" t="s">
        <v>2611</v>
      </c>
      <c r="L22" t="s">
        <v>1856</v>
      </c>
      <c r="M22" t="s">
        <v>3367</v>
      </c>
      <c r="N22" t="s">
        <v>1857</v>
      </c>
      <c r="O22" t="s">
        <v>1673</v>
      </c>
      <c r="P22" t="s">
        <v>1674</v>
      </c>
      <c r="Q22" t="s">
        <v>1858</v>
      </c>
      <c r="R22" t="s">
        <v>604</v>
      </c>
      <c r="S22" t="s">
        <v>1859</v>
      </c>
      <c r="T22" t="s">
        <v>1695</v>
      </c>
    </row>
    <row r="23" spans="1:20" ht="15" customHeight="1" x14ac:dyDescent="0.3">
      <c r="A23" t="s">
        <v>1860</v>
      </c>
      <c r="B23" t="s">
        <v>3367</v>
      </c>
      <c r="C23" t="s">
        <v>3229</v>
      </c>
      <c r="F23" t="s">
        <v>2610</v>
      </c>
      <c r="G23" t="s">
        <v>176</v>
      </c>
      <c r="H23" t="s">
        <v>1862</v>
      </c>
      <c r="I23" t="s">
        <v>1437</v>
      </c>
      <c r="J23" t="s">
        <v>2611</v>
      </c>
      <c r="L23" t="s">
        <v>1860</v>
      </c>
      <c r="M23" t="s">
        <v>3367</v>
      </c>
      <c r="N23" t="s">
        <v>1861</v>
      </c>
      <c r="O23" t="s">
        <v>1673</v>
      </c>
      <c r="P23" t="s">
        <v>1674</v>
      </c>
      <c r="Q23" t="s">
        <v>1862</v>
      </c>
      <c r="R23" t="s">
        <v>604</v>
      </c>
      <c r="S23" t="s">
        <v>1863</v>
      </c>
      <c r="T23" t="s">
        <v>1696</v>
      </c>
    </row>
    <row r="24" spans="1:20" ht="15" customHeight="1" x14ac:dyDescent="0.3">
      <c r="A24" t="s">
        <v>1864</v>
      </c>
      <c r="B24" t="s">
        <v>3367</v>
      </c>
      <c r="C24" t="s">
        <v>3230</v>
      </c>
      <c r="F24" t="s">
        <v>2610</v>
      </c>
      <c r="G24" t="s">
        <v>176</v>
      </c>
      <c r="H24" t="s">
        <v>1866</v>
      </c>
      <c r="I24" t="s">
        <v>1437</v>
      </c>
      <c r="J24" t="s">
        <v>2611</v>
      </c>
      <c r="L24" t="s">
        <v>1864</v>
      </c>
      <c r="M24" t="s">
        <v>3367</v>
      </c>
      <c r="N24" t="s">
        <v>1865</v>
      </c>
      <c r="O24" t="s">
        <v>1673</v>
      </c>
      <c r="P24" t="s">
        <v>1674</v>
      </c>
      <c r="Q24" t="s">
        <v>1866</v>
      </c>
      <c r="R24" t="s">
        <v>604</v>
      </c>
      <c r="S24" t="s">
        <v>1867</v>
      </c>
      <c r="T24" t="s">
        <v>1697</v>
      </c>
    </row>
    <row r="25" spans="1:20" ht="15" customHeight="1" x14ac:dyDescent="0.3">
      <c r="A25" t="s">
        <v>1868</v>
      </c>
      <c r="B25" t="s">
        <v>3367</v>
      </c>
      <c r="C25" t="s">
        <v>3231</v>
      </c>
      <c r="F25" t="s">
        <v>2610</v>
      </c>
      <c r="G25" t="s">
        <v>176</v>
      </c>
      <c r="H25" t="s">
        <v>1870</v>
      </c>
      <c r="I25" t="s">
        <v>1437</v>
      </c>
      <c r="J25" t="s">
        <v>2611</v>
      </c>
      <c r="L25" t="s">
        <v>1868</v>
      </c>
      <c r="M25" t="s">
        <v>3367</v>
      </c>
      <c r="N25" t="s">
        <v>1869</v>
      </c>
      <c r="O25" t="s">
        <v>1673</v>
      </c>
      <c r="P25" t="s">
        <v>1674</v>
      </c>
      <c r="Q25" t="s">
        <v>1870</v>
      </c>
      <c r="R25" t="s">
        <v>604</v>
      </c>
      <c r="S25" t="s">
        <v>1871</v>
      </c>
      <c r="T25" t="s">
        <v>1698</v>
      </c>
    </row>
    <row r="26" spans="1:20" ht="15" customHeight="1" x14ac:dyDescent="0.3">
      <c r="A26" t="s">
        <v>1872</v>
      </c>
      <c r="B26" t="s">
        <v>3367</v>
      </c>
      <c r="C26" t="s">
        <v>3232</v>
      </c>
      <c r="F26" t="s">
        <v>2610</v>
      </c>
      <c r="G26" t="s">
        <v>176</v>
      </c>
      <c r="H26" t="s">
        <v>1874</v>
      </c>
      <c r="I26" t="s">
        <v>1437</v>
      </c>
      <c r="J26" t="s">
        <v>2611</v>
      </c>
      <c r="L26" t="s">
        <v>1872</v>
      </c>
      <c r="M26" t="s">
        <v>3367</v>
      </c>
      <c r="N26" t="s">
        <v>1873</v>
      </c>
      <c r="O26" t="s">
        <v>1673</v>
      </c>
      <c r="P26" t="s">
        <v>1674</v>
      </c>
      <c r="Q26" t="s">
        <v>1874</v>
      </c>
      <c r="R26" t="s">
        <v>604</v>
      </c>
      <c r="S26" t="s">
        <v>1875</v>
      </c>
      <c r="T26" t="s">
        <v>1699</v>
      </c>
    </row>
    <row r="27" spans="1:20" ht="15" customHeight="1" x14ac:dyDescent="0.3">
      <c r="A27" t="s">
        <v>1876</v>
      </c>
      <c r="B27" t="s">
        <v>3367</v>
      </c>
      <c r="C27" t="s">
        <v>3233</v>
      </c>
      <c r="F27" t="s">
        <v>2610</v>
      </c>
      <c r="G27" t="s">
        <v>176</v>
      </c>
      <c r="H27" t="s">
        <v>1878</v>
      </c>
      <c r="I27" t="s">
        <v>1437</v>
      </c>
      <c r="J27" t="s">
        <v>2611</v>
      </c>
      <c r="L27" t="s">
        <v>1876</v>
      </c>
      <c r="M27" t="s">
        <v>3367</v>
      </c>
      <c r="N27" t="s">
        <v>1877</v>
      </c>
      <c r="O27" t="s">
        <v>1673</v>
      </c>
      <c r="P27" t="s">
        <v>1674</v>
      </c>
      <c r="Q27" t="s">
        <v>1878</v>
      </c>
      <c r="R27" t="s">
        <v>604</v>
      </c>
      <c r="S27" t="s">
        <v>1879</v>
      </c>
      <c r="T27" t="s">
        <v>1700</v>
      </c>
    </row>
    <row r="28" spans="1:20" ht="15" customHeight="1" x14ac:dyDescent="0.3">
      <c r="A28" t="s">
        <v>1880</v>
      </c>
      <c r="B28" t="s">
        <v>3367</v>
      </c>
      <c r="C28" t="s">
        <v>3234</v>
      </c>
      <c r="F28" t="s">
        <v>2610</v>
      </c>
      <c r="G28" t="s">
        <v>176</v>
      </c>
      <c r="H28" t="s">
        <v>1882</v>
      </c>
      <c r="I28" t="s">
        <v>1437</v>
      </c>
      <c r="J28" t="s">
        <v>2611</v>
      </c>
      <c r="L28" t="s">
        <v>1880</v>
      </c>
      <c r="M28" t="s">
        <v>3367</v>
      </c>
      <c r="N28" t="s">
        <v>1881</v>
      </c>
      <c r="O28" t="s">
        <v>1673</v>
      </c>
      <c r="P28" t="s">
        <v>1674</v>
      </c>
      <c r="Q28" t="s">
        <v>1882</v>
      </c>
      <c r="R28" t="s">
        <v>604</v>
      </c>
      <c r="S28" t="s">
        <v>1883</v>
      </c>
      <c r="T28" t="s">
        <v>1701</v>
      </c>
    </row>
    <row r="29" spans="1:20" ht="15" customHeight="1" x14ac:dyDescent="0.3">
      <c r="A29" t="s">
        <v>1884</v>
      </c>
      <c r="B29" t="s">
        <v>3367</v>
      </c>
      <c r="C29" t="s">
        <v>3235</v>
      </c>
      <c r="F29" t="s">
        <v>2610</v>
      </c>
      <c r="G29" t="s">
        <v>176</v>
      </c>
      <c r="H29" t="s">
        <v>1886</v>
      </c>
      <c r="I29" t="s">
        <v>1437</v>
      </c>
      <c r="J29" t="s">
        <v>2611</v>
      </c>
      <c r="L29" t="s">
        <v>1884</v>
      </c>
      <c r="M29" t="s">
        <v>3367</v>
      </c>
      <c r="N29" t="s">
        <v>1885</v>
      </c>
      <c r="O29" t="s">
        <v>1673</v>
      </c>
      <c r="P29" t="s">
        <v>1674</v>
      </c>
      <c r="Q29" t="s">
        <v>1886</v>
      </c>
      <c r="R29" t="s">
        <v>604</v>
      </c>
      <c r="S29" t="s">
        <v>1887</v>
      </c>
      <c r="T29" t="s">
        <v>1702</v>
      </c>
    </row>
    <row r="30" spans="1:20" ht="15" customHeight="1" x14ac:dyDescent="0.3">
      <c r="A30" t="s">
        <v>1888</v>
      </c>
      <c r="B30" t="s">
        <v>3367</v>
      </c>
      <c r="C30" t="s">
        <v>3236</v>
      </c>
      <c r="F30" t="s">
        <v>2610</v>
      </c>
      <c r="G30" t="s">
        <v>176</v>
      </c>
      <c r="H30" t="s">
        <v>1890</v>
      </c>
      <c r="I30" t="s">
        <v>1437</v>
      </c>
      <c r="J30" t="s">
        <v>2611</v>
      </c>
      <c r="L30" t="s">
        <v>1888</v>
      </c>
      <c r="M30" t="s">
        <v>3367</v>
      </c>
      <c r="N30" t="s">
        <v>1889</v>
      </c>
      <c r="O30" t="s">
        <v>1673</v>
      </c>
      <c r="P30" t="s">
        <v>1674</v>
      </c>
      <c r="Q30" t="s">
        <v>1890</v>
      </c>
      <c r="R30" t="s">
        <v>604</v>
      </c>
      <c r="S30" t="s">
        <v>1891</v>
      </c>
      <c r="T30" t="s">
        <v>1703</v>
      </c>
    </row>
    <row r="31" spans="1:20" ht="15" customHeight="1" x14ac:dyDescent="0.3">
      <c r="A31" t="s">
        <v>1892</v>
      </c>
      <c r="B31" t="s">
        <v>3367</v>
      </c>
      <c r="C31" t="s">
        <v>3237</v>
      </c>
      <c r="F31" t="s">
        <v>2612</v>
      </c>
      <c r="G31" t="s">
        <v>176</v>
      </c>
      <c r="H31" t="s">
        <v>1894</v>
      </c>
      <c r="I31" t="s">
        <v>1437</v>
      </c>
      <c r="J31" t="s">
        <v>2613</v>
      </c>
      <c r="L31" t="s">
        <v>1892</v>
      </c>
      <c r="M31" t="s">
        <v>3367</v>
      </c>
      <c r="N31" t="s">
        <v>1893</v>
      </c>
      <c r="O31" t="s">
        <v>1673</v>
      </c>
      <c r="P31" t="s">
        <v>1674</v>
      </c>
      <c r="Q31" t="s">
        <v>1894</v>
      </c>
      <c r="R31" t="s">
        <v>604</v>
      </c>
      <c r="S31" t="s">
        <v>1895</v>
      </c>
      <c r="T31" t="s">
        <v>1704</v>
      </c>
    </row>
    <row r="32" spans="1:20" ht="15" customHeight="1" x14ac:dyDescent="0.3">
      <c r="A32" t="s">
        <v>1896</v>
      </c>
      <c r="B32" t="s">
        <v>3367</v>
      </c>
      <c r="C32" t="s">
        <v>3238</v>
      </c>
      <c r="F32" t="s">
        <v>2612</v>
      </c>
      <c r="G32" t="s">
        <v>176</v>
      </c>
      <c r="H32" t="s">
        <v>1898</v>
      </c>
      <c r="I32" t="s">
        <v>1437</v>
      </c>
      <c r="J32" t="s">
        <v>2613</v>
      </c>
      <c r="L32" t="s">
        <v>1896</v>
      </c>
      <c r="M32" t="s">
        <v>3367</v>
      </c>
      <c r="N32" t="s">
        <v>1897</v>
      </c>
      <c r="O32" t="s">
        <v>1673</v>
      </c>
      <c r="P32" t="s">
        <v>1674</v>
      </c>
      <c r="Q32" t="s">
        <v>1898</v>
      </c>
      <c r="R32" t="s">
        <v>604</v>
      </c>
      <c r="S32" t="s">
        <v>1899</v>
      </c>
      <c r="T32" t="s">
        <v>1705</v>
      </c>
    </row>
    <row r="33" spans="1:20" ht="15" customHeight="1" x14ac:dyDescent="0.3">
      <c r="A33" t="s">
        <v>1900</v>
      </c>
      <c r="B33" t="s">
        <v>3367</v>
      </c>
      <c r="C33" t="s">
        <v>3239</v>
      </c>
      <c r="F33" t="s">
        <v>2612</v>
      </c>
      <c r="G33" t="s">
        <v>176</v>
      </c>
      <c r="H33" t="s">
        <v>1902</v>
      </c>
      <c r="I33" t="s">
        <v>1437</v>
      </c>
      <c r="J33" t="s">
        <v>2613</v>
      </c>
      <c r="L33" t="s">
        <v>1900</v>
      </c>
      <c r="M33" t="s">
        <v>3367</v>
      </c>
      <c r="N33" t="s">
        <v>1901</v>
      </c>
      <c r="O33" t="s">
        <v>1673</v>
      </c>
      <c r="P33" t="s">
        <v>1674</v>
      </c>
      <c r="Q33" t="s">
        <v>1902</v>
      </c>
      <c r="R33" t="s">
        <v>604</v>
      </c>
      <c r="S33" t="s">
        <v>1903</v>
      </c>
      <c r="T33" t="s">
        <v>1706</v>
      </c>
    </row>
    <row r="34" spans="1:20" ht="15" customHeight="1" x14ac:dyDescent="0.3">
      <c r="A34" t="s">
        <v>1904</v>
      </c>
      <c r="B34" t="s">
        <v>3367</v>
      </c>
      <c r="C34" t="s">
        <v>3240</v>
      </c>
      <c r="F34" t="s">
        <v>2612</v>
      </c>
      <c r="G34" t="s">
        <v>176</v>
      </c>
      <c r="H34" t="s">
        <v>1906</v>
      </c>
      <c r="I34" t="s">
        <v>1437</v>
      </c>
      <c r="J34" t="s">
        <v>2613</v>
      </c>
      <c r="L34" t="s">
        <v>1904</v>
      </c>
      <c r="M34" t="s">
        <v>3367</v>
      </c>
      <c r="N34" t="s">
        <v>1905</v>
      </c>
      <c r="O34" t="s">
        <v>1673</v>
      </c>
      <c r="P34" t="s">
        <v>1674</v>
      </c>
      <c r="Q34" t="s">
        <v>1906</v>
      </c>
      <c r="R34" t="s">
        <v>604</v>
      </c>
      <c r="S34" t="s">
        <v>1907</v>
      </c>
      <c r="T34" t="s">
        <v>1707</v>
      </c>
    </row>
    <row r="35" spans="1:20" ht="15" customHeight="1" x14ac:dyDescent="0.3">
      <c r="A35" t="s">
        <v>1908</v>
      </c>
      <c r="B35" t="s">
        <v>3367</v>
      </c>
      <c r="C35" t="s">
        <v>3241</v>
      </c>
      <c r="F35" t="s">
        <v>2610</v>
      </c>
      <c r="G35" t="s">
        <v>176</v>
      </c>
      <c r="H35" t="s">
        <v>1910</v>
      </c>
      <c r="I35" t="s">
        <v>1437</v>
      </c>
      <c r="J35" t="s">
        <v>2611</v>
      </c>
      <c r="L35" t="s">
        <v>1908</v>
      </c>
      <c r="M35" t="s">
        <v>3367</v>
      </c>
      <c r="N35" t="s">
        <v>1909</v>
      </c>
      <c r="O35" t="s">
        <v>1673</v>
      </c>
      <c r="P35" t="s">
        <v>1674</v>
      </c>
      <c r="Q35" t="s">
        <v>1910</v>
      </c>
      <c r="R35" t="s">
        <v>604</v>
      </c>
      <c r="S35" t="s">
        <v>1911</v>
      </c>
      <c r="T35" t="s">
        <v>1708</v>
      </c>
    </row>
    <row r="36" spans="1:20" ht="15" customHeight="1" x14ac:dyDescent="0.3">
      <c r="A36" t="s">
        <v>1912</v>
      </c>
      <c r="B36" t="s">
        <v>3367</v>
      </c>
      <c r="C36" t="s">
        <v>3242</v>
      </c>
      <c r="F36" t="s">
        <v>2612</v>
      </c>
      <c r="G36" t="s">
        <v>176</v>
      </c>
      <c r="H36" t="s">
        <v>1914</v>
      </c>
      <c r="I36" t="s">
        <v>1437</v>
      </c>
      <c r="J36" t="s">
        <v>2613</v>
      </c>
      <c r="L36" t="s">
        <v>1912</v>
      </c>
      <c r="M36" t="s">
        <v>3367</v>
      </c>
      <c r="N36" t="s">
        <v>1913</v>
      </c>
      <c r="O36" t="s">
        <v>1673</v>
      </c>
      <c r="P36" t="s">
        <v>1674</v>
      </c>
      <c r="Q36" t="s">
        <v>1914</v>
      </c>
      <c r="R36" t="s">
        <v>604</v>
      </c>
      <c r="S36" t="s">
        <v>1915</v>
      </c>
      <c r="T36" t="s">
        <v>1709</v>
      </c>
    </row>
    <row r="37" spans="1:20" ht="15" customHeight="1" x14ac:dyDescent="0.3">
      <c r="A37" t="s">
        <v>1916</v>
      </c>
      <c r="B37" t="s">
        <v>3367</v>
      </c>
      <c r="C37" t="s">
        <v>3243</v>
      </c>
      <c r="F37" t="s">
        <v>2610</v>
      </c>
      <c r="G37" t="s">
        <v>176</v>
      </c>
      <c r="H37" t="s">
        <v>1918</v>
      </c>
      <c r="I37" t="s">
        <v>1437</v>
      </c>
      <c r="J37" t="s">
        <v>2611</v>
      </c>
      <c r="L37" t="s">
        <v>1916</v>
      </c>
      <c r="M37" t="s">
        <v>3367</v>
      </c>
      <c r="N37" t="s">
        <v>1917</v>
      </c>
      <c r="O37" t="s">
        <v>1673</v>
      </c>
      <c r="P37" t="s">
        <v>1674</v>
      </c>
      <c r="Q37" t="s">
        <v>1918</v>
      </c>
      <c r="R37" t="s">
        <v>604</v>
      </c>
      <c r="S37" t="s">
        <v>1919</v>
      </c>
      <c r="T37" t="s">
        <v>1710</v>
      </c>
    </row>
    <row r="38" spans="1:20" ht="15" customHeight="1" x14ac:dyDescent="0.3">
      <c r="A38" t="s">
        <v>1920</v>
      </c>
      <c r="B38" t="s">
        <v>3367</v>
      </c>
      <c r="C38" t="s">
        <v>3244</v>
      </c>
      <c r="F38" t="s">
        <v>2610</v>
      </c>
      <c r="G38" t="s">
        <v>176</v>
      </c>
      <c r="H38" t="s">
        <v>1922</v>
      </c>
      <c r="I38" t="s">
        <v>1437</v>
      </c>
      <c r="J38" t="s">
        <v>2611</v>
      </c>
      <c r="L38" t="s">
        <v>1920</v>
      </c>
      <c r="M38" t="s">
        <v>3367</v>
      </c>
      <c r="N38" t="s">
        <v>1921</v>
      </c>
      <c r="O38" t="s">
        <v>1673</v>
      </c>
      <c r="P38" t="s">
        <v>1674</v>
      </c>
      <c r="Q38" t="s">
        <v>1922</v>
      </c>
      <c r="R38" t="s">
        <v>604</v>
      </c>
      <c r="S38" t="s">
        <v>1923</v>
      </c>
      <c r="T38" t="s">
        <v>1711</v>
      </c>
    </row>
    <row r="39" spans="1:20" ht="15" customHeight="1" x14ac:dyDescent="0.3">
      <c r="A39" t="s">
        <v>1924</v>
      </c>
      <c r="B39" t="s">
        <v>3367</v>
      </c>
      <c r="C39" t="s">
        <v>3245</v>
      </c>
      <c r="F39" t="s">
        <v>2610</v>
      </c>
      <c r="G39" t="s">
        <v>176</v>
      </c>
      <c r="H39" t="s">
        <v>1926</v>
      </c>
      <c r="I39" t="s">
        <v>1437</v>
      </c>
      <c r="J39" t="s">
        <v>2611</v>
      </c>
      <c r="L39" t="s">
        <v>1924</v>
      </c>
      <c r="M39" t="s">
        <v>3367</v>
      </c>
      <c r="N39" t="s">
        <v>1925</v>
      </c>
      <c r="O39" t="s">
        <v>1673</v>
      </c>
      <c r="P39" t="s">
        <v>1674</v>
      </c>
      <c r="Q39" t="s">
        <v>1926</v>
      </c>
      <c r="R39" t="s">
        <v>604</v>
      </c>
      <c r="S39" t="s">
        <v>1927</v>
      </c>
      <c r="T39" t="s">
        <v>1712</v>
      </c>
    </row>
    <row r="40" spans="1:20" ht="15" customHeight="1" x14ac:dyDescent="0.3">
      <c r="A40" t="s">
        <v>1928</v>
      </c>
      <c r="B40" t="s">
        <v>3367</v>
      </c>
      <c r="C40" t="s">
        <v>3246</v>
      </c>
      <c r="F40" t="s">
        <v>2610</v>
      </c>
      <c r="G40" t="s">
        <v>176</v>
      </c>
      <c r="H40" t="s">
        <v>1930</v>
      </c>
      <c r="I40" t="s">
        <v>1437</v>
      </c>
      <c r="J40" t="s">
        <v>2611</v>
      </c>
      <c r="L40" t="s">
        <v>1928</v>
      </c>
      <c r="M40" t="s">
        <v>3367</v>
      </c>
      <c r="N40" t="s">
        <v>1929</v>
      </c>
      <c r="O40" t="s">
        <v>1673</v>
      </c>
      <c r="P40" t="s">
        <v>1674</v>
      </c>
      <c r="Q40" t="s">
        <v>1930</v>
      </c>
      <c r="R40" t="s">
        <v>604</v>
      </c>
      <c r="S40" t="s">
        <v>1931</v>
      </c>
      <c r="T40" t="s">
        <v>1713</v>
      </c>
    </row>
    <row r="41" spans="1:20" ht="15" customHeight="1" x14ac:dyDescent="0.3">
      <c r="A41" t="s">
        <v>1932</v>
      </c>
      <c r="B41" t="s">
        <v>3367</v>
      </c>
      <c r="C41" t="s">
        <v>3247</v>
      </c>
      <c r="F41" t="s">
        <v>2610</v>
      </c>
      <c r="G41" t="s">
        <v>176</v>
      </c>
      <c r="H41" t="s">
        <v>1934</v>
      </c>
      <c r="I41" t="s">
        <v>1437</v>
      </c>
      <c r="J41" t="s">
        <v>2611</v>
      </c>
      <c r="L41" t="s">
        <v>1932</v>
      </c>
      <c r="M41" t="s">
        <v>3367</v>
      </c>
      <c r="N41" t="s">
        <v>1933</v>
      </c>
      <c r="O41" t="s">
        <v>1673</v>
      </c>
      <c r="P41" t="s">
        <v>1674</v>
      </c>
      <c r="Q41" t="s">
        <v>1934</v>
      </c>
      <c r="R41" t="s">
        <v>604</v>
      </c>
      <c r="S41" t="s">
        <v>1935</v>
      </c>
      <c r="T41" t="s">
        <v>1714</v>
      </c>
    </row>
    <row r="42" spans="1:20" ht="15" customHeight="1" x14ac:dyDescent="0.3">
      <c r="A42" t="s">
        <v>1936</v>
      </c>
      <c r="B42" t="s">
        <v>3367</v>
      </c>
      <c r="C42" t="s">
        <v>3248</v>
      </c>
      <c r="F42" t="s">
        <v>2610</v>
      </c>
      <c r="G42" t="s">
        <v>176</v>
      </c>
      <c r="H42" t="s">
        <v>1938</v>
      </c>
      <c r="I42" t="s">
        <v>1437</v>
      </c>
      <c r="J42" t="s">
        <v>2611</v>
      </c>
      <c r="L42" t="s">
        <v>1936</v>
      </c>
      <c r="M42" t="s">
        <v>3367</v>
      </c>
      <c r="N42" t="s">
        <v>1937</v>
      </c>
      <c r="O42" t="s">
        <v>1673</v>
      </c>
      <c r="P42" t="s">
        <v>1674</v>
      </c>
      <c r="Q42" t="s">
        <v>1938</v>
      </c>
      <c r="R42" t="s">
        <v>604</v>
      </c>
      <c r="S42" t="s">
        <v>1939</v>
      </c>
      <c r="T42" t="s">
        <v>1715</v>
      </c>
    </row>
    <row r="43" spans="1:20" ht="15" customHeight="1" x14ac:dyDescent="0.3">
      <c r="A43" t="s">
        <v>1940</v>
      </c>
      <c r="B43" t="s">
        <v>3367</v>
      </c>
      <c r="C43" t="s">
        <v>3249</v>
      </c>
      <c r="F43" t="s">
        <v>2610</v>
      </c>
      <c r="G43" t="s">
        <v>176</v>
      </c>
      <c r="H43" t="s">
        <v>1942</v>
      </c>
      <c r="I43" t="s">
        <v>1437</v>
      </c>
      <c r="J43" t="s">
        <v>2611</v>
      </c>
      <c r="L43" t="s">
        <v>1940</v>
      </c>
      <c r="M43" t="s">
        <v>3367</v>
      </c>
      <c r="N43" t="s">
        <v>1941</v>
      </c>
      <c r="O43" t="s">
        <v>1673</v>
      </c>
      <c r="P43" t="s">
        <v>1674</v>
      </c>
      <c r="Q43" t="s">
        <v>1942</v>
      </c>
      <c r="R43" t="s">
        <v>604</v>
      </c>
      <c r="S43" t="s">
        <v>1943</v>
      </c>
      <c r="T43" t="s">
        <v>1716</v>
      </c>
    </row>
    <row r="44" spans="1:20" ht="15" customHeight="1" x14ac:dyDescent="0.3">
      <c r="A44" t="s">
        <v>1944</v>
      </c>
      <c r="B44" t="s">
        <v>3367</v>
      </c>
      <c r="C44" t="s">
        <v>3250</v>
      </c>
      <c r="F44" t="s">
        <v>2610</v>
      </c>
      <c r="G44" t="s">
        <v>176</v>
      </c>
      <c r="H44" t="s">
        <v>1946</v>
      </c>
      <c r="I44" t="s">
        <v>1437</v>
      </c>
      <c r="J44" t="s">
        <v>2611</v>
      </c>
      <c r="L44" t="s">
        <v>1944</v>
      </c>
      <c r="M44" t="s">
        <v>3367</v>
      </c>
      <c r="N44" t="s">
        <v>1945</v>
      </c>
      <c r="O44" t="s">
        <v>1673</v>
      </c>
      <c r="P44" t="s">
        <v>1674</v>
      </c>
      <c r="Q44" t="s">
        <v>1946</v>
      </c>
      <c r="R44" t="s">
        <v>604</v>
      </c>
      <c r="S44" t="s">
        <v>1947</v>
      </c>
      <c r="T44" t="s">
        <v>1717</v>
      </c>
    </row>
    <row r="45" spans="1:20" ht="15" customHeight="1" x14ac:dyDescent="0.3">
      <c r="A45" t="s">
        <v>1948</v>
      </c>
      <c r="B45" t="s">
        <v>3367</v>
      </c>
      <c r="C45" t="s">
        <v>3251</v>
      </c>
      <c r="F45" t="s">
        <v>2610</v>
      </c>
      <c r="G45" t="s">
        <v>176</v>
      </c>
      <c r="H45" t="s">
        <v>1950</v>
      </c>
      <c r="I45" t="s">
        <v>1437</v>
      </c>
      <c r="J45" t="s">
        <v>2611</v>
      </c>
      <c r="L45" t="s">
        <v>1948</v>
      </c>
      <c r="M45" t="s">
        <v>3367</v>
      </c>
      <c r="N45" t="s">
        <v>1949</v>
      </c>
      <c r="O45" t="s">
        <v>1673</v>
      </c>
      <c r="P45" t="s">
        <v>1674</v>
      </c>
      <c r="Q45" t="s">
        <v>1950</v>
      </c>
      <c r="R45" t="s">
        <v>604</v>
      </c>
      <c r="S45" t="s">
        <v>1951</v>
      </c>
      <c r="T45" t="s">
        <v>1718</v>
      </c>
    </row>
    <row r="46" spans="1:20" ht="15" customHeight="1" x14ac:dyDescent="0.3">
      <c r="A46" t="s">
        <v>1952</v>
      </c>
      <c r="B46" t="s">
        <v>3367</v>
      </c>
      <c r="C46" t="s">
        <v>3252</v>
      </c>
      <c r="F46" t="s">
        <v>2610</v>
      </c>
      <c r="G46" t="s">
        <v>176</v>
      </c>
      <c r="H46" t="s">
        <v>1954</v>
      </c>
      <c r="I46" t="s">
        <v>1437</v>
      </c>
      <c r="J46" t="s">
        <v>2611</v>
      </c>
      <c r="L46" t="s">
        <v>1952</v>
      </c>
      <c r="M46" t="s">
        <v>3367</v>
      </c>
      <c r="N46" t="s">
        <v>1953</v>
      </c>
      <c r="O46" t="s">
        <v>1673</v>
      </c>
      <c r="P46" t="s">
        <v>1674</v>
      </c>
      <c r="Q46" t="s">
        <v>1954</v>
      </c>
      <c r="R46" t="s">
        <v>604</v>
      </c>
      <c r="S46" t="s">
        <v>1955</v>
      </c>
      <c r="T46" t="s">
        <v>1719</v>
      </c>
    </row>
    <row r="47" spans="1:20" ht="15" customHeight="1" x14ac:dyDescent="0.3">
      <c r="A47" t="s">
        <v>1956</v>
      </c>
      <c r="B47" t="s">
        <v>3367</v>
      </c>
      <c r="C47" t="s">
        <v>3253</v>
      </c>
      <c r="F47" t="s">
        <v>2610</v>
      </c>
      <c r="G47" t="s">
        <v>176</v>
      </c>
      <c r="H47" t="s">
        <v>1958</v>
      </c>
      <c r="I47" t="s">
        <v>1437</v>
      </c>
      <c r="J47" t="s">
        <v>2611</v>
      </c>
      <c r="L47" t="s">
        <v>1956</v>
      </c>
      <c r="M47" t="s">
        <v>3367</v>
      </c>
      <c r="N47" t="s">
        <v>1957</v>
      </c>
      <c r="O47" t="s">
        <v>1673</v>
      </c>
      <c r="P47" t="s">
        <v>1674</v>
      </c>
      <c r="Q47" t="s">
        <v>1958</v>
      </c>
      <c r="R47" t="s">
        <v>604</v>
      </c>
      <c r="S47" t="s">
        <v>1959</v>
      </c>
      <c r="T47" t="s">
        <v>1720</v>
      </c>
    </row>
    <row r="48" spans="1:20" ht="15" customHeight="1" x14ac:dyDescent="0.3">
      <c r="A48" t="s">
        <v>1960</v>
      </c>
      <c r="B48" t="s">
        <v>3367</v>
      </c>
      <c r="C48" t="s">
        <v>3254</v>
      </c>
      <c r="F48" t="s">
        <v>2612</v>
      </c>
      <c r="G48" t="s">
        <v>176</v>
      </c>
      <c r="H48" t="s">
        <v>1962</v>
      </c>
      <c r="I48" t="s">
        <v>1437</v>
      </c>
      <c r="J48" t="s">
        <v>2613</v>
      </c>
      <c r="L48" t="s">
        <v>1960</v>
      </c>
      <c r="M48" t="s">
        <v>3367</v>
      </c>
      <c r="N48" t="s">
        <v>1961</v>
      </c>
      <c r="O48" t="s">
        <v>1673</v>
      </c>
      <c r="P48" t="s">
        <v>1674</v>
      </c>
      <c r="Q48" t="s">
        <v>1962</v>
      </c>
      <c r="R48" t="s">
        <v>604</v>
      </c>
      <c r="S48" t="s">
        <v>1963</v>
      </c>
      <c r="T48" t="s">
        <v>1721</v>
      </c>
    </row>
    <row r="49" spans="1:20" ht="15" customHeight="1" x14ac:dyDescent="0.3">
      <c r="A49" t="s">
        <v>1964</v>
      </c>
      <c r="B49" t="s">
        <v>3367</v>
      </c>
      <c r="C49" t="s">
        <v>3255</v>
      </c>
      <c r="F49" t="s">
        <v>2610</v>
      </c>
      <c r="G49" t="s">
        <v>176</v>
      </c>
      <c r="H49" t="s">
        <v>1966</v>
      </c>
      <c r="I49" t="s">
        <v>1437</v>
      </c>
      <c r="J49" t="s">
        <v>2611</v>
      </c>
      <c r="L49" t="s">
        <v>1964</v>
      </c>
      <c r="M49" t="s">
        <v>3367</v>
      </c>
      <c r="N49" t="s">
        <v>1965</v>
      </c>
      <c r="O49" t="s">
        <v>1673</v>
      </c>
      <c r="P49" t="s">
        <v>1674</v>
      </c>
      <c r="Q49" t="s">
        <v>1966</v>
      </c>
      <c r="R49" t="s">
        <v>604</v>
      </c>
      <c r="S49" t="s">
        <v>1967</v>
      </c>
      <c r="T49" t="s">
        <v>1722</v>
      </c>
    </row>
    <row r="50" spans="1:20" ht="15" customHeight="1" x14ac:dyDescent="0.3">
      <c r="A50" t="s">
        <v>1968</v>
      </c>
      <c r="B50" t="s">
        <v>3367</v>
      </c>
      <c r="C50" t="s">
        <v>3256</v>
      </c>
      <c r="F50" t="s">
        <v>2610</v>
      </c>
      <c r="G50" t="s">
        <v>176</v>
      </c>
      <c r="H50" t="s">
        <v>1970</v>
      </c>
      <c r="I50" t="s">
        <v>1437</v>
      </c>
      <c r="J50" t="s">
        <v>2611</v>
      </c>
      <c r="L50" t="s">
        <v>1968</v>
      </c>
      <c r="M50" t="s">
        <v>3367</v>
      </c>
      <c r="N50" t="s">
        <v>1969</v>
      </c>
      <c r="O50" t="s">
        <v>1673</v>
      </c>
      <c r="P50" t="s">
        <v>1674</v>
      </c>
      <c r="Q50" t="s">
        <v>1970</v>
      </c>
      <c r="R50" t="s">
        <v>604</v>
      </c>
      <c r="S50" t="s">
        <v>1971</v>
      </c>
      <c r="T50" t="s">
        <v>1723</v>
      </c>
    </row>
    <row r="51" spans="1:20" ht="15" customHeight="1" x14ac:dyDescent="0.3">
      <c r="A51" t="s">
        <v>1972</v>
      </c>
      <c r="B51" t="s">
        <v>3367</v>
      </c>
      <c r="C51" t="s">
        <v>3257</v>
      </c>
      <c r="F51" t="s">
        <v>2610</v>
      </c>
      <c r="G51" t="s">
        <v>176</v>
      </c>
      <c r="H51" t="s">
        <v>1974</v>
      </c>
      <c r="I51" t="s">
        <v>1437</v>
      </c>
      <c r="J51" t="s">
        <v>2611</v>
      </c>
      <c r="L51" t="s">
        <v>1972</v>
      </c>
      <c r="M51" t="s">
        <v>3367</v>
      </c>
      <c r="N51" t="s">
        <v>1973</v>
      </c>
      <c r="O51" t="s">
        <v>1673</v>
      </c>
      <c r="P51" t="s">
        <v>1674</v>
      </c>
      <c r="Q51" t="s">
        <v>1974</v>
      </c>
      <c r="R51" t="s">
        <v>604</v>
      </c>
      <c r="S51" t="s">
        <v>1975</v>
      </c>
      <c r="T51" t="s">
        <v>1724</v>
      </c>
    </row>
    <row r="52" spans="1:20" ht="15" customHeight="1" x14ac:dyDescent="0.3">
      <c r="A52" t="s">
        <v>1976</v>
      </c>
      <c r="B52" t="s">
        <v>3367</v>
      </c>
      <c r="C52" t="s">
        <v>3258</v>
      </c>
      <c r="F52" t="s">
        <v>2610</v>
      </c>
      <c r="G52" t="s">
        <v>176</v>
      </c>
      <c r="H52" t="s">
        <v>1978</v>
      </c>
      <c r="I52" t="s">
        <v>1437</v>
      </c>
      <c r="J52" t="s">
        <v>2611</v>
      </c>
      <c r="L52" t="s">
        <v>1976</v>
      </c>
      <c r="M52" t="s">
        <v>3367</v>
      </c>
      <c r="N52" t="s">
        <v>1977</v>
      </c>
      <c r="O52" t="s">
        <v>1673</v>
      </c>
      <c r="P52" t="s">
        <v>1674</v>
      </c>
      <c r="Q52" t="s">
        <v>1978</v>
      </c>
      <c r="R52" t="s">
        <v>604</v>
      </c>
      <c r="S52" t="s">
        <v>1979</v>
      </c>
      <c r="T52" t="s">
        <v>1725</v>
      </c>
    </row>
    <row r="53" spans="1:20" ht="15" customHeight="1" x14ac:dyDescent="0.3">
      <c r="A53" t="s">
        <v>1980</v>
      </c>
      <c r="B53" t="s">
        <v>3367</v>
      </c>
      <c r="C53" t="s">
        <v>3259</v>
      </c>
      <c r="F53" t="s">
        <v>2610</v>
      </c>
      <c r="G53" t="s">
        <v>176</v>
      </c>
      <c r="H53" t="s">
        <v>1982</v>
      </c>
      <c r="I53" t="s">
        <v>1437</v>
      </c>
      <c r="J53" t="s">
        <v>2611</v>
      </c>
      <c r="L53" t="s">
        <v>1980</v>
      </c>
      <c r="M53" t="s">
        <v>3367</v>
      </c>
      <c r="N53" t="s">
        <v>1981</v>
      </c>
      <c r="O53" t="s">
        <v>1673</v>
      </c>
      <c r="P53" t="s">
        <v>1674</v>
      </c>
      <c r="Q53" t="s">
        <v>1982</v>
      </c>
      <c r="R53" t="s">
        <v>604</v>
      </c>
      <c r="S53" t="s">
        <v>1983</v>
      </c>
      <c r="T53" t="s">
        <v>1726</v>
      </c>
    </row>
    <row r="54" spans="1:20" ht="15" customHeight="1" x14ac:dyDescent="0.3">
      <c r="A54" t="s">
        <v>1984</v>
      </c>
      <c r="B54" t="s">
        <v>3367</v>
      </c>
      <c r="C54" t="s">
        <v>3260</v>
      </c>
      <c r="F54" t="s">
        <v>2610</v>
      </c>
      <c r="G54" t="s">
        <v>176</v>
      </c>
      <c r="H54" t="s">
        <v>1986</v>
      </c>
      <c r="I54" t="s">
        <v>1437</v>
      </c>
      <c r="J54" t="s">
        <v>2611</v>
      </c>
      <c r="L54" t="s">
        <v>1984</v>
      </c>
      <c r="M54" t="s">
        <v>3367</v>
      </c>
      <c r="N54" t="s">
        <v>1985</v>
      </c>
      <c r="O54" t="s">
        <v>1673</v>
      </c>
      <c r="P54" t="s">
        <v>1674</v>
      </c>
      <c r="Q54" t="s">
        <v>1986</v>
      </c>
      <c r="R54" t="s">
        <v>604</v>
      </c>
      <c r="S54" t="s">
        <v>1987</v>
      </c>
      <c r="T54" t="s">
        <v>1727</v>
      </c>
    </row>
    <row r="55" spans="1:20" ht="15" customHeight="1" x14ac:dyDescent="0.3">
      <c r="A55" t="s">
        <v>1988</v>
      </c>
      <c r="B55" t="s">
        <v>3367</v>
      </c>
      <c r="C55" t="s">
        <v>3261</v>
      </c>
      <c r="F55" t="s">
        <v>2610</v>
      </c>
      <c r="G55" t="s">
        <v>176</v>
      </c>
      <c r="H55" t="s">
        <v>1990</v>
      </c>
      <c r="I55" t="s">
        <v>1437</v>
      </c>
      <c r="J55" t="s">
        <v>2611</v>
      </c>
      <c r="L55" t="s">
        <v>1988</v>
      </c>
      <c r="M55" t="s">
        <v>3367</v>
      </c>
      <c r="N55" t="s">
        <v>1989</v>
      </c>
      <c r="O55" t="s">
        <v>1673</v>
      </c>
      <c r="P55" t="s">
        <v>1674</v>
      </c>
      <c r="Q55" t="s">
        <v>1990</v>
      </c>
      <c r="R55" t="s">
        <v>604</v>
      </c>
      <c r="S55" t="s">
        <v>1991</v>
      </c>
      <c r="T55" t="s">
        <v>1728</v>
      </c>
    </row>
    <row r="56" spans="1:20" ht="15" customHeight="1" x14ac:dyDescent="0.3">
      <c r="A56" t="s">
        <v>1992</v>
      </c>
      <c r="B56" t="s">
        <v>3367</v>
      </c>
      <c r="C56" t="s">
        <v>3262</v>
      </c>
      <c r="F56" t="s">
        <v>2610</v>
      </c>
      <c r="G56" t="s">
        <v>176</v>
      </c>
      <c r="H56" t="s">
        <v>1994</v>
      </c>
      <c r="I56" t="s">
        <v>1437</v>
      </c>
      <c r="J56" t="s">
        <v>2611</v>
      </c>
      <c r="L56" t="s">
        <v>1992</v>
      </c>
      <c r="M56" t="s">
        <v>3367</v>
      </c>
      <c r="N56" t="s">
        <v>1993</v>
      </c>
      <c r="O56" t="s">
        <v>1673</v>
      </c>
      <c r="P56" t="s">
        <v>1674</v>
      </c>
      <c r="Q56" t="s">
        <v>1994</v>
      </c>
      <c r="R56" t="s">
        <v>604</v>
      </c>
      <c r="S56" t="s">
        <v>1995</v>
      </c>
      <c r="T56" t="s">
        <v>1729</v>
      </c>
    </row>
    <row r="57" spans="1:20" ht="15" customHeight="1" x14ac:dyDescent="0.3">
      <c r="A57" t="s">
        <v>1996</v>
      </c>
      <c r="B57" t="s">
        <v>3367</v>
      </c>
      <c r="C57" t="s">
        <v>3263</v>
      </c>
      <c r="F57" t="s">
        <v>2612</v>
      </c>
      <c r="G57" t="s">
        <v>176</v>
      </c>
      <c r="H57" t="s">
        <v>1998</v>
      </c>
      <c r="I57" t="s">
        <v>1437</v>
      </c>
      <c r="J57" t="s">
        <v>2613</v>
      </c>
      <c r="L57" t="s">
        <v>1996</v>
      </c>
      <c r="M57" t="s">
        <v>3367</v>
      </c>
      <c r="N57" t="s">
        <v>1997</v>
      </c>
      <c r="O57" t="s">
        <v>1673</v>
      </c>
      <c r="P57" t="s">
        <v>1674</v>
      </c>
      <c r="Q57" t="s">
        <v>1998</v>
      </c>
      <c r="R57" t="s">
        <v>604</v>
      </c>
      <c r="S57" t="s">
        <v>1999</v>
      </c>
      <c r="T57" t="s">
        <v>1730</v>
      </c>
    </row>
    <row r="58" spans="1:20" ht="15" customHeight="1" x14ac:dyDescent="0.3">
      <c r="A58" t="s">
        <v>2000</v>
      </c>
      <c r="B58" t="s">
        <v>3367</v>
      </c>
      <c r="C58" t="s">
        <v>3264</v>
      </c>
      <c r="F58" t="s">
        <v>2612</v>
      </c>
      <c r="G58" t="s">
        <v>176</v>
      </c>
      <c r="H58" t="s">
        <v>2002</v>
      </c>
      <c r="I58" t="s">
        <v>1437</v>
      </c>
      <c r="J58" t="s">
        <v>2613</v>
      </c>
      <c r="L58" t="s">
        <v>2000</v>
      </c>
      <c r="M58" t="s">
        <v>3367</v>
      </c>
      <c r="N58" t="s">
        <v>2001</v>
      </c>
      <c r="O58" t="s">
        <v>1673</v>
      </c>
      <c r="P58" t="s">
        <v>1674</v>
      </c>
      <c r="Q58" t="s">
        <v>2002</v>
      </c>
      <c r="R58" t="s">
        <v>604</v>
      </c>
      <c r="S58" t="s">
        <v>2003</v>
      </c>
      <c r="T58" t="s">
        <v>1731</v>
      </c>
    </row>
    <row r="59" spans="1:20" ht="15" customHeight="1" x14ac:dyDescent="0.3">
      <c r="A59" t="s">
        <v>2004</v>
      </c>
      <c r="B59" t="s">
        <v>3367</v>
      </c>
      <c r="C59" t="s">
        <v>3265</v>
      </c>
      <c r="F59" t="s">
        <v>2610</v>
      </c>
      <c r="G59" t="s">
        <v>176</v>
      </c>
      <c r="H59" t="s">
        <v>2006</v>
      </c>
      <c r="I59" t="s">
        <v>1437</v>
      </c>
      <c r="J59" t="s">
        <v>2611</v>
      </c>
      <c r="L59" t="s">
        <v>2004</v>
      </c>
      <c r="M59" t="s">
        <v>3367</v>
      </c>
      <c r="N59" t="s">
        <v>2005</v>
      </c>
      <c r="O59" t="s">
        <v>1673</v>
      </c>
      <c r="P59" t="s">
        <v>1674</v>
      </c>
      <c r="Q59" t="s">
        <v>2006</v>
      </c>
      <c r="R59" t="s">
        <v>604</v>
      </c>
      <c r="S59" t="s">
        <v>2007</v>
      </c>
      <c r="T59" t="s">
        <v>1732</v>
      </c>
    </row>
    <row r="60" spans="1:20" ht="15" customHeight="1" x14ac:dyDescent="0.3">
      <c r="A60" t="s">
        <v>2008</v>
      </c>
      <c r="B60" t="s">
        <v>3367</v>
      </c>
      <c r="C60" t="s">
        <v>3266</v>
      </c>
      <c r="F60" t="s">
        <v>2610</v>
      </c>
      <c r="G60" t="s">
        <v>176</v>
      </c>
      <c r="H60" t="s">
        <v>2010</v>
      </c>
      <c r="I60" t="s">
        <v>1437</v>
      </c>
      <c r="J60" t="s">
        <v>2611</v>
      </c>
      <c r="L60" t="s">
        <v>2008</v>
      </c>
      <c r="M60" t="s">
        <v>3367</v>
      </c>
      <c r="N60" t="s">
        <v>2009</v>
      </c>
      <c r="O60" t="s">
        <v>1673</v>
      </c>
      <c r="P60" t="s">
        <v>1674</v>
      </c>
      <c r="Q60" t="s">
        <v>2010</v>
      </c>
      <c r="R60" t="s">
        <v>604</v>
      </c>
      <c r="S60" t="s">
        <v>2011</v>
      </c>
      <c r="T60" t="s">
        <v>1733</v>
      </c>
    </row>
    <row r="61" spans="1:20" ht="15" customHeight="1" x14ac:dyDescent="0.3">
      <c r="A61" t="s">
        <v>2012</v>
      </c>
      <c r="B61" t="s">
        <v>3367</v>
      </c>
      <c r="C61" t="s">
        <v>3267</v>
      </c>
      <c r="F61" t="s">
        <v>2610</v>
      </c>
      <c r="G61" t="s">
        <v>176</v>
      </c>
      <c r="H61" t="s">
        <v>2014</v>
      </c>
      <c r="I61" t="s">
        <v>1437</v>
      </c>
      <c r="J61" t="s">
        <v>2611</v>
      </c>
      <c r="L61" t="s">
        <v>2012</v>
      </c>
      <c r="M61" t="s">
        <v>3367</v>
      </c>
      <c r="N61" t="s">
        <v>2013</v>
      </c>
      <c r="O61" t="s">
        <v>1673</v>
      </c>
      <c r="P61" t="s">
        <v>1674</v>
      </c>
      <c r="Q61" t="s">
        <v>2014</v>
      </c>
      <c r="R61" t="s">
        <v>604</v>
      </c>
      <c r="S61" t="s">
        <v>2015</v>
      </c>
      <c r="T61" t="s">
        <v>1734</v>
      </c>
    </row>
    <row r="62" spans="1:20" ht="15" customHeight="1" x14ac:dyDescent="0.3">
      <c r="A62" t="s">
        <v>2016</v>
      </c>
      <c r="B62" t="s">
        <v>3367</v>
      </c>
      <c r="C62" t="s">
        <v>3268</v>
      </c>
      <c r="F62" t="s">
        <v>2614</v>
      </c>
      <c r="G62" t="s">
        <v>881</v>
      </c>
      <c r="H62" t="s">
        <v>2018</v>
      </c>
      <c r="I62" t="s">
        <v>1437</v>
      </c>
      <c r="J62" t="s">
        <v>2611</v>
      </c>
      <c r="L62" t="s">
        <v>2016</v>
      </c>
      <c r="M62" t="s">
        <v>3367</v>
      </c>
      <c r="N62" t="s">
        <v>2017</v>
      </c>
      <c r="O62" t="s">
        <v>1673</v>
      </c>
      <c r="P62" t="s">
        <v>1735</v>
      </c>
      <c r="Q62" t="s">
        <v>2018</v>
      </c>
      <c r="R62" t="s">
        <v>604</v>
      </c>
      <c r="S62" t="s">
        <v>2019</v>
      </c>
      <c r="T62" t="s">
        <v>1675</v>
      </c>
    </row>
    <row r="63" spans="1:20" ht="15" customHeight="1" x14ac:dyDescent="0.3">
      <c r="A63" t="s">
        <v>2020</v>
      </c>
      <c r="B63" t="s">
        <v>3367</v>
      </c>
      <c r="C63" t="s">
        <v>3269</v>
      </c>
      <c r="F63" t="s">
        <v>2614</v>
      </c>
      <c r="G63" t="s">
        <v>881</v>
      </c>
      <c r="H63" t="s">
        <v>2022</v>
      </c>
      <c r="I63" t="s">
        <v>1437</v>
      </c>
      <c r="J63" t="s">
        <v>2611</v>
      </c>
      <c r="L63" t="s">
        <v>2020</v>
      </c>
      <c r="M63" t="s">
        <v>3367</v>
      </c>
      <c r="N63" t="s">
        <v>2021</v>
      </c>
      <c r="O63" t="s">
        <v>1673</v>
      </c>
      <c r="P63" t="s">
        <v>1735</v>
      </c>
      <c r="Q63" t="s">
        <v>2022</v>
      </c>
      <c r="R63" t="s">
        <v>604</v>
      </c>
      <c r="S63" t="s">
        <v>2023</v>
      </c>
      <c r="T63" t="s">
        <v>1676</v>
      </c>
    </row>
    <row r="64" spans="1:20" ht="15" customHeight="1" x14ac:dyDescent="0.3">
      <c r="A64" t="s">
        <v>2024</v>
      </c>
      <c r="B64" t="s">
        <v>3367</v>
      </c>
      <c r="C64" t="s">
        <v>3270</v>
      </c>
      <c r="F64" t="s">
        <v>2614</v>
      </c>
      <c r="G64" t="s">
        <v>881</v>
      </c>
      <c r="H64" t="s">
        <v>2026</v>
      </c>
      <c r="I64" t="s">
        <v>1437</v>
      </c>
      <c r="J64" t="s">
        <v>2611</v>
      </c>
      <c r="L64" t="s">
        <v>2024</v>
      </c>
      <c r="M64" t="s">
        <v>3367</v>
      </c>
      <c r="N64" t="s">
        <v>2025</v>
      </c>
      <c r="O64" t="s">
        <v>1673</v>
      </c>
      <c r="P64" t="s">
        <v>1735</v>
      </c>
      <c r="Q64" t="s">
        <v>2026</v>
      </c>
      <c r="R64" t="s">
        <v>604</v>
      </c>
      <c r="S64" t="s">
        <v>2027</v>
      </c>
      <c r="T64" t="s">
        <v>1677</v>
      </c>
    </row>
    <row r="65" spans="1:20" ht="15" customHeight="1" x14ac:dyDescent="0.3">
      <c r="A65" t="s">
        <v>2028</v>
      </c>
      <c r="B65" t="s">
        <v>3367</v>
      </c>
      <c r="C65" t="s">
        <v>3271</v>
      </c>
      <c r="F65" t="s">
        <v>2614</v>
      </c>
      <c r="G65" t="s">
        <v>881</v>
      </c>
      <c r="H65" t="s">
        <v>2030</v>
      </c>
      <c r="I65" t="s">
        <v>1437</v>
      </c>
      <c r="J65" t="s">
        <v>2611</v>
      </c>
      <c r="L65" t="s">
        <v>2028</v>
      </c>
      <c r="M65" t="s">
        <v>3367</v>
      </c>
      <c r="N65" t="s">
        <v>2029</v>
      </c>
      <c r="O65" t="s">
        <v>1673</v>
      </c>
      <c r="P65" t="s">
        <v>1735</v>
      </c>
      <c r="Q65" t="s">
        <v>2030</v>
      </c>
      <c r="R65" t="s">
        <v>604</v>
      </c>
      <c r="S65" t="s">
        <v>2031</v>
      </c>
      <c r="T65" t="s">
        <v>1678</v>
      </c>
    </row>
    <row r="66" spans="1:20" ht="15" customHeight="1" x14ac:dyDescent="0.3">
      <c r="A66" t="s">
        <v>2032</v>
      </c>
      <c r="B66" t="s">
        <v>3367</v>
      </c>
      <c r="C66" t="s">
        <v>3272</v>
      </c>
      <c r="F66" t="s">
        <v>2614</v>
      </c>
      <c r="G66" t="s">
        <v>881</v>
      </c>
      <c r="H66" t="s">
        <v>2034</v>
      </c>
      <c r="I66" t="s">
        <v>1437</v>
      </c>
      <c r="J66" t="s">
        <v>2611</v>
      </c>
      <c r="L66" t="s">
        <v>2032</v>
      </c>
      <c r="M66" t="s">
        <v>3367</v>
      </c>
      <c r="N66" t="s">
        <v>2033</v>
      </c>
      <c r="O66" t="s">
        <v>1673</v>
      </c>
      <c r="P66" t="s">
        <v>1735</v>
      </c>
      <c r="Q66" t="s">
        <v>2034</v>
      </c>
      <c r="R66" t="s">
        <v>604</v>
      </c>
      <c r="S66" t="s">
        <v>2035</v>
      </c>
      <c r="T66" t="s">
        <v>1679</v>
      </c>
    </row>
    <row r="67" spans="1:20" ht="15" customHeight="1" x14ac:dyDescent="0.3">
      <c r="A67" t="s">
        <v>2036</v>
      </c>
      <c r="B67" t="s">
        <v>3367</v>
      </c>
      <c r="C67" t="s">
        <v>3273</v>
      </c>
      <c r="F67" t="s">
        <v>2614</v>
      </c>
      <c r="G67" t="s">
        <v>881</v>
      </c>
      <c r="H67" t="s">
        <v>2038</v>
      </c>
      <c r="I67" t="s">
        <v>1437</v>
      </c>
      <c r="J67" t="s">
        <v>2611</v>
      </c>
      <c r="L67" t="s">
        <v>2036</v>
      </c>
      <c r="M67" t="s">
        <v>3367</v>
      </c>
      <c r="N67" t="s">
        <v>2037</v>
      </c>
      <c r="O67" t="s">
        <v>1673</v>
      </c>
      <c r="P67" t="s">
        <v>1735</v>
      </c>
      <c r="Q67" t="s">
        <v>2038</v>
      </c>
      <c r="R67" t="s">
        <v>604</v>
      </c>
      <c r="S67" t="s">
        <v>2039</v>
      </c>
      <c r="T67" t="s">
        <v>1680</v>
      </c>
    </row>
    <row r="68" spans="1:20" ht="15" customHeight="1" x14ac:dyDescent="0.3">
      <c r="A68" t="s">
        <v>2040</v>
      </c>
      <c r="B68" t="s">
        <v>3367</v>
      </c>
      <c r="C68" t="s">
        <v>3274</v>
      </c>
      <c r="F68" t="s">
        <v>2615</v>
      </c>
      <c r="G68" t="s">
        <v>881</v>
      </c>
      <c r="H68" t="s">
        <v>2042</v>
      </c>
      <c r="I68" t="s">
        <v>1437</v>
      </c>
      <c r="J68" t="s">
        <v>2613</v>
      </c>
      <c r="L68" t="s">
        <v>2040</v>
      </c>
      <c r="M68" t="s">
        <v>3367</v>
      </c>
      <c r="N68" t="s">
        <v>2041</v>
      </c>
      <c r="O68" t="s">
        <v>1673</v>
      </c>
      <c r="P68" t="s">
        <v>1735</v>
      </c>
      <c r="Q68" t="s">
        <v>2042</v>
      </c>
      <c r="R68" t="s">
        <v>604</v>
      </c>
      <c r="S68" t="s">
        <v>2043</v>
      </c>
      <c r="T68" t="s">
        <v>1681</v>
      </c>
    </row>
    <row r="69" spans="1:20" ht="15" customHeight="1" x14ac:dyDescent="0.3">
      <c r="A69" t="s">
        <v>2044</v>
      </c>
      <c r="B69" t="s">
        <v>3367</v>
      </c>
      <c r="C69" t="s">
        <v>3275</v>
      </c>
      <c r="F69" t="s">
        <v>2615</v>
      </c>
      <c r="G69" t="s">
        <v>881</v>
      </c>
      <c r="H69" t="s">
        <v>2046</v>
      </c>
      <c r="I69" t="s">
        <v>1437</v>
      </c>
      <c r="J69" t="s">
        <v>2613</v>
      </c>
      <c r="L69" t="s">
        <v>2044</v>
      </c>
      <c r="M69" t="s">
        <v>3367</v>
      </c>
      <c r="N69" t="s">
        <v>2045</v>
      </c>
      <c r="O69" t="s">
        <v>1673</v>
      </c>
      <c r="P69" t="s">
        <v>1735</v>
      </c>
      <c r="Q69" t="s">
        <v>2046</v>
      </c>
      <c r="R69" t="s">
        <v>604</v>
      </c>
      <c r="S69" t="s">
        <v>2047</v>
      </c>
      <c r="T69" t="s">
        <v>1682</v>
      </c>
    </row>
    <row r="70" spans="1:20" ht="15" customHeight="1" x14ac:dyDescent="0.3">
      <c r="A70" t="s">
        <v>2048</v>
      </c>
      <c r="B70" t="s">
        <v>3367</v>
      </c>
      <c r="C70" t="s">
        <v>3276</v>
      </c>
      <c r="F70" t="s">
        <v>2616</v>
      </c>
      <c r="G70" t="s">
        <v>1736</v>
      </c>
      <c r="H70" t="s">
        <v>2050</v>
      </c>
      <c r="I70" t="s">
        <v>1437</v>
      </c>
      <c r="J70" t="s">
        <v>2611</v>
      </c>
      <c r="L70" t="s">
        <v>2048</v>
      </c>
      <c r="M70" t="s">
        <v>3367</v>
      </c>
      <c r="N70" t="s">
        <v>2049</v>
      </c>
      <c r="O70" t="s">
        <v>1673</v>
      </c>
      <c r="P70" t="s">
        <v>1737</v>
      </c>
      <c r="Q70" t="s">
        <v>2050</v>
      </c>
      <c r="R70" t="s">
        <v>604</v>
      </c>
      <c r="S70" t="s">
        <v>2051</v>
      </c>
      <c r="T70" t="s">
        <v>1675</v>
      </c>
    </row>
    <row r="71" spans="1:20" ht="15" customHeight="1" x14ac:dyDescent="0.3">
      <c r="A71" t="s">
        <v>2052</v>
      </c>
      <c r="B71" t="s">
        <v>3367</v>
      </c>
      <c r="C71" t="s">
        <v>3277</v>
      </c>
      <c r="F71" t="s">
        <v>2616</v>
      </c>
      <c r="G71" t="s">
        <v>1736</v>
      </c>
      <c r="H71" t="s">
        <v>2054</v>
      </c>
      <c r="I71" t="s">
        <v>1437</v>
      </c>
      <c r="J71" t="s">
        <v>2611</v>
      </c>
      <c r="L71" t="s">
        <v>2052</v>
      </c>
      <c r="M71" t="s">
        <v>3367</v>
      </c>
      <c r="N71" t="s">
        <v>2053</v>
      </c>
      <c r="O71" t="s">
        <v>1673</v>
      </c>
      <c r="P71" t="s">
        <v>1737</v>
      </c>
      <c r="Q71" t="s">
        <v>2054</v>
      </c>
      <c r="R71" t="s">
        <v>604</v>
      </c>
      <c r="S71" t="s">
        <v>2055</v>
      </c>
      <c r="T71" t="s">
        <v>1676</v>
      </c>
    </row>
    <row r="72" spans="1:20" ht="15" customHeight="1" x14ac:dyDescent="0.3">
      <c r="A72" t="s">
        <v>2056</v>
      </c>
      <c r="B72" t="s">
        <v>3367</v>
      </c>
      <c r="C72" t="s">
        <v>3278</v>
      </c>
      <c r="F72" t="s">
        <v>2616</v>
      </c>
      <c r="G72" t="s">
        <v>1736</v>
      </c>
      <c r="H72" t="s">
        <v>2058</v>
      </c>
      <c r="I72" t="s">
        <v>1437</v>
      </c>
      <c r="J72" t="s">
        <v>2611</v>
      </c>
      <c r="L72" t="s">
        <v>2056</v>
      </c>
      <c r="M72" t="s">
        <v>3367</v>
      </c>
      <c r="N72" t="s">
        <v>2057</v>
      </c>
      <c r="O72" t="s">
        <v>1673</v>
      </c>
      <c r="P72" t="s">
        <v>1737</v>
      </c>
      <c r="Q72" t="s">
        <v>2058</v>
      </c>
      <c r="R72" t="s">
        <v>604</v>
      </c>
      <c r="S72" t="s">
        <v>2059</v>
      </c>
      <c r="T72" t="s">
        <v>1677</v>
      </c>
    </row>
    <row r="73" spans="1:20" ht="15" customHeight="1" x14ac:dyDescent="0.3">
      <c r="A73" t="s">
        <v>2060</v>
      </c>
      <c r="B73" t="s">
        <v>3367</v>
      </c>
      <c r="C73" t="s">
        <v>3279</v>
      </c>
      <c r="F73" t="s">
        <v>2616</v>
      </c>
      <c r="G73" t="s">
        <v>1736</v>
      </c>
      <c r="H73" t="s">
        <v>2062</v>
      </c>
      <c r="I73" t="s">
        <v>1437</v>
      </c>
      <c r="J73" t="s">
        <v>2611</v>
      </c>
      <c r="L73" t="s">
        <v>2060</v>
      </c>
      <c r="M73" t="s">
        <v>3367</v>
      </c>
      <c r="N73" t="s">
        <v>2061</v>
      </c>
      <c r="O73" t="s">
        <v>1673</v>
      </c>
      <c r="P73" t="s">
        <v>1737</v>
      </c>
      <c r="Q73" t="s">
        <v>2062</v>
      </c>
      <c r="R73" t="s">
        <v>604</v>
      </c>
      <c r="S73" t="s">
        <v>2063</v>
      </c>
      <c r="T73" t="s">
        <v>1678</v>
      </c>
    </row>
    <row r="74" spans="1:20" ht="15" customHeight="1" x14ac:dyDescent="0.3">
      <c r="A74" t="s">
        <v>2064</v>
      </c>
      <c r="B74" t="s">
        <v>3367</v>
      </c>
      <c r="C74" t="s">
        <v>3280</v>
      </c>
      <c r="F74" t="s">
        <v>2617</v>
      </c>
      <c r="G74" t="s">
        <v>1736</v>
      </c>
      <c r="H74" t="s">
        <v>2066</v>
      </c>
      <c r="I74" t="s">
        <v>1437</v>
      </c>
      <c r="J74" t="s">
        <v>2613</v>
      </c>
      <c r="L74" t="s">
        <v>2064</v>
      </c>
      <c r="M74" t="s">
        <v>3367</v>
      </c>
      <c r="N74" t="s">
        <v>2065</v>
      </c>
      <c r="O74" t="s">
        <v>1673</v>
      </c>
      <c r="P74" t="s">
        <v>1737</v>
      </c>
      <c r="Q74" t="s">
        <v>2066</v>
      </c>
      <c r="R74" t="s">
        <v>604</v>
      </c>
      <c r="S74" t="s">
        <v>2067</v>
      </c>
      <c r="T74" t="s">
        <v>1679</v>
      </c>
    </row>
    <row r="75" spans="1:20" ht="15" customHeight="1" x14ac:dyDescent="0.3">
      <c r="A75" t="s">
        <v>2068</v>
      </c>
      <c r="B75" t="s">
        <v>3367</v>
      </c>
      <c r="C75" t="s">
        <v>3281</v>
      </c>
      <c r="F75" t="s">
        <v>2617</v>
      </c>
      <c r="G75" t="s">
        <v>1736</v>
      </c>
      <c r="H75" t="s">
        <v>2070</v>
      </c>
      <c r="I75" t="s">
        <v>1437</v>
      </c>
      <c r="J75" t="s">
        <v>2613</v>
      </c>
      <c r="L75" t="s">
        <v>2068</v>
      </c>
      <c r="M75" t="s">
        <v>3367</v>
      </c>
      <c r="N75" t="s">
        <v>2069</v>
      </c>
      <c r="O75" t="s">
        <v>1673</v>
      </c>
      <c r="P75" t="s">
        <v>1737</v>
      </c>
      <c r="Q75" t="s">
        <v>2070</v>
      </c>
      <c r="R75" t="s">
        <v>604</v>
      </c>
      <c r="S75" t="s">
        <v>2071</v>
      </c>
      <c r="T75" t="s">
        <v>1680</v>
      </c>
    </row>
    <row r="76" spans="1:20" ht="15" customHeight="1" x14ac:dyDescent="0.3">
      <c r="A76" t="s">
        <v>2072</v>
      </c>
      <c r="B76" t="s">
        <v>3367</v>
      </c>
      <c r="C76" t="s">
        <v>3282</v>
      </c>
      <c r="F76" t="s">
        <v>2617</v>
      </c>
      <c r="G76" t="s">
        <v>1736</v>
      </c>
      <c r="H76" t="s">
        <v>2074</v>
      </c>
      <c r="I76" t="s">
        <v>1437</v>
      </c>
      <c r="J76" t="s">
        <v>2613</v>
      </c>
      <c r="L76" t="s">
        <v>2072</v>
      </c>
      <c r="M76" t="s">
        <v>3367</v>
      </c>
      <c r="N76" t="s">
        <v>2073</v>
      </c>
      <c r="O76" t="s">
        <v>1673</v>
      </c>
      <c r="P76" t="s">
        <v>1737</v>
      </c>
      <c r="Q76" t="s">
        <v>2074</v>
      </c>
      <c r="R76" t="s">
        <v>604</v>
      </c>
      <c r="S76" t="s">
        <v>2075</v>
      </c>
      <c r="T76" t="s">
        <v>1681</v>
      </c>
    </row>
    <row r="77" spans="1:20" ht="15" customHeight="1" x14ac:dyDescent="0.3">
      <c r="A77" t="s">
        <v>2076</v>
      </c>
      <c r="B77" t="s">
        <v>3367</v>
      </c>
      <c r="C77" t="s">
        <v>3283</v>
      </c>
      <c r="F77" t="s">
        <v>2617</v>
      </c>
      <c r="G77" t="s">
        <v>1736</v>
      </c>
      <c r="H77" t="s">
        <v>2078</v>
      </c>
      <c r="I77" t="s">
        <v>1437</v>
      </c>
      <c r="J77" t="s">
        <v>2613</v>
      </c>
      <c r="L77" t="s">
        <v>2076</v>
      </c>
      <c r="M77" t="s">
        <v>3367</v>
      </c>
      <c r="N77" t="s">
        <v>2077</v>
      </c>
      <c r="O77" t="s">
        <v>1673</v>
      </c>
      <c r="P77" t="s">
        <v>1737</v>
      </c>
      <c r="Q77" t="s">
        <v>2078</v>
      </c>
      <c r="R77" t="s">
        <v>604</v>
      </c>
      <c r="S77" t="s">
        <v>2079</v>
      </c>
      <c r="T77" t="s">
        <v>1682</v>
      </c>
    </row>
    <row r="78" spans="1:20" ht="15" customHeight="1" x14ac:dyDescent="0.3">
      <c r="A78" t="s">
        <v>2080</v>
      </c>
      <c r="B78" t="s">
        <v>3367</v>
      </c>
      <c r="C78" t="s">
        <v>3284</v>
      </c>
      <c r="F78" t="s">
        <v>2616</v>
      </c>
      <c r="G78" t="s">
        <v>1736</v>
      </c>
      <c r="H78" t="s">
        <v>2082</v>
      </c>
      <c r="I78" t="s">
        <v>1437</v>
      </c>
      <c r="J78" t="s">
        <v>2611</v>
      </c>
      <c r="L78" t="s">
        <v>2080</v>
      </c>
      <c r="M78" t="s">
        <v>3367</v>
      </c>
      <c r="N78" t="s">
        <v>2081</v>
      </c>
      <c r="O78" t="s">
        <v>1673</v>
      </c>
      <c r="P78" t="s">
        <v>1737</v>
      </c>
      <c r="Q78" t="s">
        <v>2082</v>
      </c>
      <c r="R78" t="s">
        <v>604</v>
      </c>
      <c r="S78" t="s">
        <v>2083</v>
      </c>
      <c r="T78" t="s">
        <v>1683</v>
      </c>
    </row>
    <row r="79" spans="1:20" ht="15" customHeight="1" x14ac:dyDescent="0.3">
      <c r="A79" t="s">
        <v>2084</v>
      </c>
      <c r="B79" t="s">
        <v>3367</v>
      </c>
      <c r="C79" t="s">
        <v>3285</v>
      </c>
      <c r="F79" t="s">
        <v>2616</v>
      </c>
      <c r="G79" t="s">
        <v>1736</v>
      </c>
      <c r="H79" t="s">
        <v>2086</v>
      </c>
      <c r="I79" t="s">
        <v>1437</v>
      </c>
      <c r="J79" t="s">
        <v>2611</v>
      </c>
      <c r="L79" t="s">
        <v>2084</v>
      </c>
      <c r="M79" t="s">
        <v>3367</v>
      </c>
      <c r="N79" t="s">
        <v>2085</v>
      </c>
      <c r="O79" t="s">
        <v>1673</v>
      </c>
      <c r="P79" t="s">
        <v>1737</v>
      </c>
      <c r="Q79" t="s">
        <v>2086</v>
      </c>
      <c r="R79" t="s">
        <v>604</v>
      </c>
      <c r="S79" t="s">
        <v>2087</v>
      </c>
      <c r="T79" t="s">
        <v>1684</v>
      </c>
    </row>
    <row r="80" spans="1:20" ht="15" customHeight="1" x14ac:dyDescent="0.3">
      <c r="A80" t="s">
        <v>2088</v>
      </c>
      <c r="B80" t="s">
        <v>3367</v>
      </c>
      <c r="C80" t="s">
        <v>3286</v>
      </c>
      <c r="F80" t="s">
        <v>2616</v>
      </c>
      <c r="G80" t="s">
        <v>1736</v>
      </c>
      <c r="H80" t="s">
        <v>2090</v>
      </c>
      <c r="I80" t="s">
        <v>1437</v>
      </c>
      <c r="J80" t="s">
        <v>2611</v>
      </c>
      <c r="L80" t="s">
        <v>2088</v>
      </c>
      <c r="M80" t="s">
        <v>3367</v>
      </c>
      <c r="N80" t="s">
        <v>2089</v>
      </c>
      <c r="O80" t="s">
        <v>1673</v>
      </c>
      <c r="P80" t="s">
        <v>1737</v>
      </c>
      <c r="Q80" t="s">
        <v>2090</v>
      </c>
      <c r="R80" t="s">
        <v>604</v>
      </c>
      <c r="S80" t="s">
        <v>2091</v>
      </c>
      <c r="T80" t="s">
        <v>1685</v>
      </c>
    </row>
    <row r="81" spans="1:20" ht="15" customHeight="1" x14ac:dyDescent="0.3">
      <c r="A81" t="s">
        <v>2092</v>
      </c>
      <c r="B81" t="s">
        <v>3367</v>
      </c>
      <c r="C81" t="s">
        <v>3287</v>
      </c>
      <c r="F81" t="s">
        <v>2616</v>
      </c>
      <c r="G81" t="s">
        <v>1736</v>
      </c>
      <c r="H81" t="s">
        <v>2094</v>
      </c>
      <c r="I81" t="s">
        <v>1437</v>
      </c>
      <c r="J81" t="s">
        <v>2611</v>
      </c>
      <c r="L81" t="s">
        <v>2092</v>
      </c>
      <c r="M81" t="s">
        <v>3367</v>
      </c>
      <c r="N81" t="s">
        <v>2093</v>
      </c>
      <c r="O81" t="s">
        <v>1673</v>
      </c>
      <c r="P81" t="s">
        <v>1737</v>
      </c>
      <c r="Q81" t="s">
        <v>2094</v>
      </c>
      <c r="R81" t="s">
        <v>604</v>
      </c>
      <c r="S81" t="s">
        <v>2095</v>
      </c>
      <c r="T81" t="s">
        <v>1686</v>
      </c>
    </row>
    <row r="82" spans="1:20" ht="15" customHeight="1" x14ac:dyDescent="0.3">
      <c r="A82" t="s">
        <v>2096</v>
      </c>
      <c r="B82" t="s">
        <v>3367</v>
      </c>
      <c r="C82" t="s">
        <v>3288</v>
      </c>
      <c r="F82" t="s">
        <v>2616</v>
      </c>
      <c r="G82" t="s">
        <v>1736</v>
      </c>
      <c r="H82" t="s">
        <v>2098</v>
      </c>
      <c r="I82" t="s">
        <v>1437</v>
      </c>
      <c r="J82" t="s">
        <v>2611</v>
      </c>
      <c r="L82" t="s">
        <v>2096</v>
      </c>
      <c r="M82" t="s">
        <v>3367</v>
      </c>
      <c r="N82" t="s">
        <v>2097</v>
      </c>
      <c r="O82" t="s">
        <v>1673</v>
      </c>
      <c r="P82" t="s">
        <v>1737</v>
      </c>
      <c r="Q82" t="s">
        <v>2098</v>
      </c>
      <c r="R82" t="s">
        <v>604</v>
      </c>
      <c r="S82" t="s">
        <v>2099</v>
      </c>
      <c r="T82" t="s">
        <v>1687</v>
      </c>
    </row>
    <row r="83" spans="1:20" ht="15" customHeight="1" x14ac:dyDescent="0.3">
      <c r="A83" t="s">
        <v>2100</v>
      </c>
      <c r="B83" t="s">
        <v>3367</v>
      </c>
      <c r="C83" t="s">
        <v>3289</v>
      </c>
      <c r="F83" t="s">
        <v>2616</v>
      </c>
      <c r="G83" t="s">
        <v>1736</v>
      </c>
      <c r="H83" t="s">
        <v>2102</v>
      </c>
      <c r="I83" t="s">
        <v>1437</v>
      </c>
      <c r="J83" t="s">
        <v>2611</v>
      </c>
      <c r="L83" t="s">
        <v>2100</v>
      </c>
      <c r="M83" t="s">
        <v>3367</v>
      </c>
      <c r="N83" t="s">
        <v>2101</v>
      </c>
      <c r="O83" t="s">
        <v>1673</v>
      </c>
      <c r="P83" t="s">
        <v>1737</v>
      </c>
      <c r="Q83" t="s">
        <v>2102</v>
      </c>
      <c r="R83" t="s">
        <v>604</v>
      </c>
      <c r="S83" t="s">
        <v>2103</v>
      </c>
      <c r="T83" t="s">
        <v>1688</v>
      </c>
    </row>
    <row r="84" spans="1:20" ht="15" customHeight="1" x14ac:dyDescent="0.3">
      <c r="A84" t="s">
        <v>2104</v>
      </c>
      <c r="B84" t="s">
        <v>3367</v>
      </c>
      <c r="C84" t="s">
        <v>3290</v>
      </c>
      <c r="F84" t="s">
        <v>2616</v>
      </c>
      <c r="G84" t="s">
        <v>1736</v>
      </c>
      <c r="H84" t="s">
        <v>2106</v>
      </c>
      <c r="I84" t="s">
        <v>1437</v>
      </c>
      <c r="J84" t="s">
        <v>2611</v>
      </c>
      <c r="L84" t="s">
        <v>2104</v>
      </c>
      <c r="M84" t="s">
        <v>3367</v>
      </c>
      <c r="N84" t="s">
        <v>2105</v>
      </c>
      <c r="O84" t="s">
        <v>1673</v>
      </c>
      <c r="P84" t="s">
        <v>1737</v>
      </c>
      <c r="Q84" t="s">
        <v>2106</v>
      </c>
      <c r="R84" t="s">
        <v>604</v>
      </c>
      <c r="S84" t="s">
        <v>2107</v>
      </c>
      <c r="T84" t="s">
        <v>1689</v>
      </c>
    </row>
    <row r="85" spans="1:20" ht="15" customHeight="1" x14ac:dyDescent="0.3">
      <c r="A85" t="s">
        <v>2108</v>
      </c>
      <c r="B85" t="s">
        <v>3367</v>
      </c>
      <c r="C85" t="s">
        <v>3291</v>
      </c>
      <c r="F85" t="s">
        <v>2616</v>
      </c>
      <c r="G85" t="s">
        <v>1736</v>
      </c>
      <c r="H85" t="s">
        <v>2110</v>
      </c>
      <c r="I85" t="s">
        <v>1437</v>
      </c>
      <c r="J85" t="s">
        <v>2611</v>
      </c>
      <c r="L85" t="s">
        <v>2108</v>
      </c>
      <c r="M85" t="s">
        <v>3367</v>
      </c>
      <c r="N85" t="s">
        <v>2109</v>
      </c>
      <c r="O85" t="s">
        <v>1673</v>
      </c>
      <c r="P85" t="s">
        <v>1737</v>
      </c>
      <c r="Q85" t="s">
        <v>2110</v>
      </c>
      <c r="R85" t="s">
        <v>604</v>
      </c>
      <c r="S85" t="s">
        <v>2111</v>
      </c>
      <c r="T85" t="s">
        <v>1690</v>
      </c>
    </row>
    <row r="86" spans="1:20" ht="15" customHeight="1" x14ac:dyDescent="0.3">
      <c r="A86" t="s">
        <v>2112</v>
      </c>
      <c r="B86" t="s">
        <v>3367</v>
      </c>
      <c r="C86" t="s">
        <v>3292</v>
      </c>
      <c r="F86" t="s">
        <v>2616</v>
      </c>
      <c r="G86" t="s">
        <v>1736</v>
      </c>
      <c r="H86" t="s">
        <v>2114</v>
      </c>
      <c r="I86" t="s">
        <v>1437</v>
      </c>
      <c r="J86" t="s">
        <v>2611</v>
      </c>
      <c r="L86" t="s">
        <v>2112</v>
      </c>
      <c r="M86" t="s">
        <v>3367</v>
      </c>
      <c r="N86" t="s">
        <v>2113</v>
      </c>
      <c r="O86" t="s">
        <v>1673</v>
      </c>
      <c r="P86" t="s">
        <v>1737</v>
      </c>
      <c r="Q86" t="s">
        <v>2114</v>
      </c>
      <c r="R86" t="s">
        <v>604</v>
      </c>
      <c r="S86" t="s">
        <v>2115</v>
      </c>
      <c r="T86" t="s">
        <v>1691</v>
      </c>
    </row>
    <row r="87" spans="1:20" ht="15" customHeight="1" x14ac:dyDescent="0.3">
      <c r="A87" t="s">
        <v>2116</v>
      </c>
      <c r="B87" t="s">
        <v>3367</v>
      </c>
      <c r="C87" t="s">
        <v>3293</v>
      </c>
      <c r="F87" t="s">
        <v>2616</v>
      </c>
      <c r="G87" t="s">
        <v>1736</v>
      </c>
      <c r="H87" t="s">
        <v>2118</v>
      </c>
      <c r="I87" t="s">
        <v>1437</v>
      </c>
      <c r="J87" t="s">
        <v>2611</v>
      </c>
      <c r="L87" t="s">
        <v>2116</v>
      </c>
      <c r="M87" t="s">
        <v>3367</v>
      </c>
      <c r="N87" t="s">
        <v>2117</v>
      </c>
      <c r="O87" t="s">
        <v>1673</v>
      </c>
      <c r="P87" t="s">
        <v>1737</v>
      </c>
      <c r="Q87" t="s">
        <v>2118</v>
      </c>
      <c r="R87" t="s">
        <v>604</v>
      </c>
      <c r="S87" t="s">
        <v>2119</v>
      </c>
      <c r="T87" t="s">
        <v>1692</v>
      </c>
    </row>
    <row r="88" spans="1:20" ht="15" customHeight="1" x14ac:dyDescent="0.3">
      <c r="A88" t="s">
        <v>2120</v>
      </c>
      <c r="B88" t="s">
        <v>3367</v>
      </c>
      <c r="C88" t="s">
        <v>3294</v>
      </c>
      <c r="F88" t="s">
        <v>2616</v>
      </c>
      <c r="G88" t="s">
        <v>1736</v>
      </c>
      <c r="H88" t="s">
        <v>2122</v>
      </c>
      <c r="I88" t="s">
        <v>1437</v>
      </c>
      <c r="J88" t="s">
        <v>2611</v>
      </c>
      <c r="L88" t="s">
        <v>2120</v>
      </c>
      <c r="M88" t="s">
        <v>3367</v>
      </c>
      <c r="N88" t="s">
        <v>2121</v>
      </c>
      <c r="O88" t="s">
        <v>1673</v>
      </c>
      <c r="P88" t="s">
        <v>1737</v>
      </c>
      <c r="Q88" t="s">
        <v>2122</v>
      </c>
      <c r="R88" t="s">
        <v>604</v>
      </c>
      <c r="S88" t="s">
        <v>2123</v>
      </c>
      <c r="T88" t="s">
        <v>1693</v>
      </c>
    </row>
    <row r="89" spans="1:20" ht="15" customHeight="1" x14ac:dyDescent="0.3">
      <c r="A89" t="s">
        <v>2124</v>
      </c>
      <c r="B89" t="s">
        <v>3367</v>
      </c>
      <c r="C89" t="s">
        <v>3295</v>
      </c>
      <c r="F89" t="s">
        <v>2616</v>
      </c>
      <c r="G89" t="s">
        <v>1736</v>
      </c>
      <c r="H89" t="s">
        <v>2126</v>
      </c>
      <c r="I89" t="s">
        <v>1437</v>
      </c>
      <c r="J89" t="s">
        <v>2611</v>
      </c>
      <c r="L89" t="s">
        <v>2124</v>
      </c>
      <c r="M89" t="s">
        <v>3367</v>
      </c>
      <c r="N89" t="s">
        <v>2125</v>
      </c>
      <c r="O89" t="s">
        <v>1673</v>
      </c>
      <c r="P89" t="s">
        <v>1737</v>
      </c>
      <c r="Q89" t="s">
        <v>2126</v>
      </c>
      <c r="R89" t="s">
        <v>604</v>
      </c>
      <c r="S89" t="s">
        <v>2127</v>
      </c>
      <c r="T89" t="s">
        <v>1694</v>
      </c>
    </row>
    <row r="90" spans="1:20" ht="15" customHeight="1" x14ac:dyDescent="0.3">
      <c r="A90" t="s">
        <v>2128</v>
      </c>
      <c r="B90" t="s">
        <v>3367</v>
      </c>
      <c r="C90" t="s">
        <v>3296</v>
      </c>
      <c r="F90" t="s">
        <v>2616</v>
      </c>
      <c r="G90" t="s">
        <v>1736</v>
      </c>
      <c r="H90" t="s">
        <v>2130</v>
      </c>
      <c r="I90" t="s">
        <v>1437</v>
      </c>
      <c r="J90" t="s">
        <v>2611</v>
      </c>
      <c r="L90" t="s">
        <v>2128</v>
      </c>
      <c r="M90" t="s">
        <v>3367</v>
      </c>
      <c r="N90" t="s">
        <v>2129</v>
      </c>
      <c r="O90" t="s">
        <v>1673</v>
      </c>
      <c r="P90" t="s">
        <v>1737</v>
      </c>
      <c r="Q90" t="s">
        <v>2130</v>
      </c>
      <c r="R90" t="s">
        <v>604</v>
      </c>
      <c r="S90" t="s">
        <v>2131</v>
      </c>
      <c r="T90" t="s">
        <v>1695</v>
      </c>
    </row>
    <row r="91" spans="1:20" ht="15" customHeight="1" x14ac:dyDescent="0.3">
      <c r="A91" t="s">
        <v>2132</v>
      </c>
      <c r="B91" t="s">
        <v>3367</v>
      </c>
      <c r="C91" t="s">
        <v>3297</v>
      </c>
      <c r="F91" t="s">
        <v>2616</v>
      </c>
      <c r="G91" t="s">
        <v>1736</v>
      </c>
      <c r="H91" t="s">
        <v>2134</v>
      </c>
      <c r="I91" t="s">
        <v>1437</v>
      </c>
      <c r="J91" t="s">
        <v>2611</v>
      </c>
      <c r="L91" t="s">
        <v>2132</v>
      </c>
      <c r="M91" t="s">
        <v>3367</v>
      </c>
      <c r="N91" t="s">
        <v>2133</v>
      </c>
      <c r="O91" t="s">
        <v>1673</v>
      </c>
      <c r="P91" t="s">
        <v>1737</v>
      </c>
      <c r="Q91" t="s">
        <v>2134</v>
      </c>
      <c r="R91" t="s">
        <v>604</v>
      </c>
      <c r="S91" t="s">
        <v>2135</v>
      </c>
      <c r="T91" t="s">
        <v>1696</v>
      </c>
    </row>
    <row r="92" spans="1:20" ht="15" customHeight="1" x14ac:dyDescent="0.3">
      <c r="A92" t="s">
        <v>2136</v>
      </c>
      <c r="B92" t="s">
        <v>3367</v>
      </c>
      <c r="C92" t="s">
        <v>3298</v>
      </c>
      <c r="F92" t="s">
        <v>2616</v>
      </c>
      <c r="G92" t="s">
        <v>1736</v>
      </c>
      <c r="H92" t="s">
        <v>2138</v>
      </c>
      <c r="I92" t="s">
        <v>1437</v>
      </c>
      <c r="J92" t="s">
        <v>2611</v>
      </c>
      <c r="L92" t="s">
        <v>2136</v>
      </c>
      <c r="M92" t="s">
        <v>3367</v>
      </c>
      <c r="N92" t="s">
        <v>2137</v>
      </c>
      <c r="O92" t="s">
        <v>1673</v>
      </c>
      <c r="P92" t="s">
        <v>1737</v>
      </c>
      <c r="Q92" t="s">
        <v>2138</v>
      </c>
      <c r="R92" t="s">
        <v>604</v>
      </c>
      <c r="S92" t="s">
        <v>2139</v>
      </c>
      <c r="T92" t="s">
        <v>1697</v>
      </c>
    </row>
    <row r="93" spans="1:20" ht="15" customHeight="1" x14ac:dyDescent="0.3">
      <c r="A93" t="s">
        <v>2140</v>
      </c>
      <c r="B93" t="s">
        <v>3367</v>
      </c>
      <c r="C93" t="s">
        <v>3299</v>
      </c>
      <c r="F93" t="s">
        <v>2616</v>
      </c>
      <c r="G93" t="s">
        <v>1736</v>
      </c>
      <c r="H93" t="s">
        <v>2142</v>
      </c>
      <c r="I93" t="s">
        <v>1437</v>
      </c>
      <c r="J93" t="s">
        <v>2611</v>
      </c>
      <c r="L93" t="s">
        <v>2140</v>
      </c>
      <c r="M93" t="s">
        <v>3367</v>
      </c>
      <c r="N93" t="s">
        <v>2141</v>
      </c>
      <c r="O93" t="s">
        <v>1673</v>
      </c>
      <c r="P93" t="s">
        <v>1737</v>
      </c>
      <c r="Q93" t="s">
        <v>2142</v>
      </c>
      <c r="R93" t="s">
        <v>604</v>
      </c>
      <c r="S93" t="s">
        <v>2143</v>
      </c>
      <c r="T93" t="s">
        <v>1698</v>
      </c>
    </row>
    <row r="94" spans="1:20" ht="15" customHeight="1" x14ac:dyDescent="0.3">
      <c r="A94" t="s">
        <v>2144</v>
      </c>
      <c r="B94" t="s">
        <v>3367</v>
      </c>
      <c r="C94" t="s">
        <v>3300</v>
      </c>
      <c r="F94" t="s">
        <v>2616</v>
      </c>
      <c r="G94" t="s">
        <v>1736</v>
      </c>
      <c r="H94" t="s">
        <v>2146</v>
      </c>
      <c r="I94" t="s">
        <v>1437</v>
      </c>
      <c r="J94" t="s">
        <v>2611</v>
      </c>
      <c r="L94" t="s">
        <v>2144</v>
      </c>
      <c r="M94" t="s">
        <v>3367</v>
      </c>
      <c r="N94" t="s">
        <v>2145</v>
      </c>
      <c r="O94" t="s">
        <v>1673</v>
      </c>
      <c r="P94" t="s">
        <v>1737</v>
      </c>
      <c r="Q94" t="s">
        <v>2146</v>
      </c>
      <c r="R94" t="s">
        <v>604</v>
      </c>
      <c r="S94" t="s">
        <v>2147</v>
      </c>
      <c r="T94" t="s">
        <v>1699</v>
      </c>
    </row>
    <row r="95" spans="1:20" ht="15" customHeight="1" x14ac:dyDescent="0.3">
      <c r="A95" t="s">
        <v>2148</v>
      </c>
      <c r="B95" t="s">
        <v>3367</v>
      </c>
      <c r="C95" t="s">
        <v>3301</v>
      </c>
      <c r="F95" t="s">
        <v>2616</v>
      </c>
      <c r="G95" t="s">
        <v>1736</v>
      </c>
      <c r="H95" t="s">
        <v>2150</v>
      </c>
      <c r="I95" t="s">
        <v>1437</v>
      </c>
      <c r="J95" t="s">
        <v>2611</v>
      </c>
      <c r="L95" t="s">
        <v>2148</v>
      </c>
      <c r="M95" t="s">
        <v>3367</v>
      </c>
      <c r="N95" t="s">
        <v>2149</v>
      </c>
      <c r="O95" t="s">
        <v>1673</v>
      </c>
      <c r="P95" t="s">
        <v>1737</v>
      </c>
      <c r="Q95" t="s">
        <v>2150</v>
      </c>
      <c r="R95" t="s">
        <v>604</v>
      </c>
      <c r="S95" t="s">
        <v>2151</v>
      </c>
      <c r="T95" t="s">
        <v>1700</v>
      </c>
    </row>
    <row r="96" spans="1:20" ht="15" customHeight="1" x14ac:dyDescent="0.3">
      <c r="A96" t="s">
        <v>2152</v>
      </c>
      <c r="B96" t="s">
        <v>3367</v>
      </c>
      <c r="C96" t="s">
        <v>3302</v>
      </c>
      <c r="F96" t="s">
        <v>2616</v>
      </c>
      <c r="G96" t="s">
        <v>1736</v>
      </c>
      <c r="H96" t="s">
        <v>2154</v>
      </c>
      <c r="I96" t="s">
        <v>1437</v>
      </c>
      <c r="J96" t="s">
        <v>2611</v>
      </c>
      <c r="L96" t="s">
        <v>2152</v>
      </c>
      <c r="M96" t="s">
        <v>3367</v>
      </c>
      <c r="N96" t="s">
        <v>2153</v>
      </c>
      <c r="O96" t="s">
        <v>1673</v>
      </c>
      <c r="P96" t="s">
        <v>1737</v>
      </c>
      <c r="Q96" t="s">
        <v>2154</v>
      </c>
      <c r="R96" t="s">
        <v>604</v>
      </c>
      <c r="S96" t="s">
        <v>2155</v>
      </c>
      <c r="T96" t="s">
        <v>1701</v>
      </c>
    </row>
    <row r="97" spans="1:20" ht="15" customHeight="1" x14ac:dyDescent="0.3">
      <c r="A97" t="s">
        <v>2156</v>
      </c>
      <c r="B97" t="s">
        <v>3367</v>
      </c>
      <c r="C97" t="s">
        <v>3303</v>
      </c>
      <c r="F97" t="s">
        <v>2616</v>
      </c>
      <c r="G97" t="s">
        <v>1736</v>
      </c>
      <c r="H97" t="s">
        <v>2158</v>
      </c>
      <c r="I97" t="s">
        <v>1437</v>
      </c>
      <c r="J97" t="s">
        <v>2611</v>
      </c>
      <c r="L97" t="s">
        <v>2156</v>
      </c>
      <c r="M97" t="s">
        <v>3367</v>
      </c>
      <c r="N97" t="s">
        <v>2157</v>
      </c>
      <c r="O97" t="s">
        <v>1673</v>
      </c>
      <c r="P97" t="s">
        <v>1737</v>
      </c>
      <c r="Q97" t="s">
        <v>2158</v>
      </c>
      <c r="R97" t="s">
        <v>604</v>
      </c>
      <c r="S97" t="s">
        <v>2159</v>
      </c>
      <c r="T97" t="s">
        <v>1702</v>
      </c>
    </row>
    <row r="98" spans="1:20" ht="15" customHeight="1" x14ac:dyDescent="0.3">
      <c r="A98" t="s">
        <v>2160</v>
      </c>
      <c r="B98" t="s">
        <v>3367</v>
      </c>
      <c r="C98" t="s">
        <v>3304</v>
      </c>
      <c r="F98" t="s">
        <v>2616</v>
      </c>
      <c r="G98" t="s">
        <v>1736</v>
      </c>
      <c r="H98" t="s">
        <v>2162</v>
      </c>
      <c r="I98" t="s">
        <v>1437</v>
      </c>
      <c r="J98" t="s">
        <v>2611</v>
      </c>
      <c r="L98" t="s">
        <v>2160</v>
      </c>
      <c r="M98" t="s">
        <v>3367</v>
      </c>
      <c r="N98" t="s">
        <v>2161</v>
      </c>
      <c r="O98" t="s">
        <v>1673</v>
      </c>
      <c r="P98" t="s">
        <v>1737</v>
      </c>
      <c r="Q98" t="s">
        <v>2162</v>
      </c>
      <c r="R98" t="s">
        <v>604</v>
      </c>
      <c r="S98" t="s">
        <v>2163</v>
      </c>
      <c r="T98" t="s">
        <v>1703</v>
      </c>
    </row>
    <row r="99" spans="1:20" ht="15" customHeight="1" x14ac:dyDescent="0.3">
      <c r="A99" t="s">
        <v>2164</v>
      </c>
      <c r="B99" t="s">
        <v>3367</v>
      </c>
      <c r="C99" t="s">
        <v>3305</v>
      </c>
      <c r="F99" t="s">
        <v>2616</v>
      </c>
      <c r="G99" t="s">
        <v>1736</v>
      </c>
      <c r="H99" t="s">
        <v>2166</v>
      </c>
      <c r="I99" t="s">
        <v>1437</v>
      </c>
      <c r="J99" t="s">
        <v>2611</v>
      </c>
      <c r="L99" t="s">
        <v>2164</v>
      </c>
      <c r="M99" t="s">
        <v>3367</v>
      </c>
      <c r="N99" t="s">
        <v>2165</v>
      </c>
      <c r="O99" t="s">
        <v>1673</v>
      </c>
      <c r="P99" t="s">
        <v>1737</v>
      </c>
      <c r="Q99" t="s">
        <v>2166</v>
      </c>
      <c r="R99" t="s">
        <v>604</v>
      </c>
      <c r="S99" t="s">
        <v>2167</v>
      </c>
      <c r="T99" t="s">
        <v>1704</v>
      </c>
    </row>
    <row r="100" spans="1:20" ht="15" customHeight="1" x14ac:dyDescent="0.3">
      <c r="A100" t="s">
        <v>2168</v>
      </c>
      <c r="B100" t="s">
        <v>3367</v>
      </c>
      <c r="C100" t="s">
        <v>3306</v>
      </c>
      <c r="F100" t="s">
        <v>2616</v>
      </c>
      <c r="G100" t="s">
        <v>1736</v>
      </c>
      <c r="H100" t="s">
        <v>2170</v>
      </c>
      <c r="I100" t="s">
        <v>1437</v>
      </c>
      <c r="J100" t="s">
        <v>2611</v>
      </c>
      <c r="L100" t="s">
        <v>2168</v>
      </c>
      <c r="M100" t="s">
        <v>3367</v>
      </c>
      <c r="N100" t="s">
        <v>2169</v>
      </c>
      <c r="O100" t="s">
        <v>1673</v>
      </c>
      <c r="P100" t="s">
        <v>1737</v>
      </c>
      <c r="Q100" t="s">
        <v>2170</v>
      </c>
      <c r="R100" t="s">
        <v>604</v>
      </c>
      <c r="S100" t="s">
        <v>2171</v>
      </c>
      <c r="T100" t="s">
        <v>1705</v>
      </c>
    </row>
    <row r="101" spans="1:20" ht="15" customHeight="1" x14ac:dyDescent="0.3">
      <c r="A101" t="s">
        <v>2172</v>
      </c>
      <c r="B101" t="s">
        <v>3367</v>
      </c>
      <c r="C101" t="s">
        <v>3307</v>
      </c>
      <c r="F101" t="s">
        <v>2616</v>
      </c>
      <c r="G101" t="s">
        <v>1736</v>
      </c>
      <c r="H101" t="s">
        <v>2174</v>
      </c>
      <c r="I101" t="s">
        <v>1437</v>
      </c>
      <c r="J101" t="s">
        <v>2611</v>
      </c>
      <c r="L101" t="s">
        <v>2172</v>
      </c>
      <c r="M101" t="s">
        <v>3367</v>
      </c>
      <c r="N101" t="s">
        <v>2173</v>
      </c>
      <c r="O101" t="s">
        <v>1673</v>
      </c>
      <c r="P101" t="s">
        <v>1737</v>
      </c>
      <c r="Q101" t="s">
        <v>2174</v>
      </c>
      <c r="R101" t="s">
        <v>604</v>
      </c>
      <c r="S101" t="s">
        <v>2175</v>
      </c>
      <c r="T101" t="s">
        <v>1706</v>
      </c>
    </row>
    <row r="102" spans="1:20" ht="15" customHeight="1" x14ac:dyDescent="0.3">
      <c r="A102" t="s">
        <v>2176</v>
      </c>
      <c r="B102" t="s">
        <v>3367</v>
      </c>
      <c r="C102" t="s">
        <v>3308</v>
      </c>
      <c r="F102" t="s">
        <v>2616</v>
      </c>
      <c r="G102" t="s">
        <v>1736</v>
      </c>
      <c r="H102" t="s">
        <v>2178</v>
      </c>
      <c r="I102" t="s">
        <v>1437</v>
      </c>
      <c r="J102" t="s">
        <v>2611</v>
      </c>
      <c r="L102" t="s">
        <v>2176</v>
      </c>
      <c r="M102" t="s">
        <v>3367</v>
      </c>
      <c r="N102" t="s">
        <v>2177</v>
      </c>
      <c r="O102" t="s">
        <v>1673</v>
      </c>
      <c r="P102" t="s">
        <v>1737</v>
      </c>
      <c r="Q102" t="s">
        <v>2178</v>
      </c>
      <c r="R102" t="s">
        <v>604</v>
      </c>
      <c r="S102" t="s">
        <v>2179</v>
      </c>
      <c r="T102" t="s">
        <v>1707</v>
      </c>
    </row>
    <row r="103" spans="1:20" ht="15" customHeight="1" x14ac:dyDescent="0.3">
      <c r="A103" t="s">
        <v>2180</v>
      </c>
      <c r="B103" t="s">
        <v>3367</v>
      </c>
      <c r="C103" t="s">
        <v>3309</v>
      </c>
      <c r="F103" t="s">
        <v>2616</v>
      </c>
      <c r="G103" t="s">
        <v>1736</v>
      </c>
      <c r="H103" t="s">
        <v>2182</v>
      </c>
      <c r="I103" t="s">
        <v>1437</v>
      </c>
      <c r="J103" t="s">
        <v>2611</v>
      </c>
      <c r="L103" t="s">
        <v>2180</v>
      </c>
      <c r="M103" t="s">
        <v>3367</v>
      </c>
      <c r="N103" t="s">
        <v>2181</v>
      </c>
      <c r="O103" t="s">
        <v>1673</v>
      </c>
      <c r="P103" t="s">
        <v>1737</v>
      </c>
      <c r="Q103" t="s">
        <v>2182</v>
      </c>
      <c r="R103" t="s">
        <v>604</v>
      </c>
      <c r="S103" t="s">
        <v>2183</v>
      </c>
      <c r="T103" t="s">
        <v>1708</v>
      </c>
    </row>
    <row r="104" spans="1:20" ht="15" customHeight="1" x14ac:dyDescent="0.3">
      <c r="A104" t="s">
        <v>2184</v>
      </c>
      <c r="B104" t="s">
        <v>3367</v>
      </c>
      <c r="C104" t="s">
        <v>3310</v>
      </c>
      <c r="F104" t="s">
        <v>2616</v>
      </c>
      <c r="G104" t="s">
        <v>1736</v>
      </c>
      <c r="H104" t="s">
        <v>2186</v>
      </c>
      <c r="I104" t="s">
        <v>1437</v>
      </c>
      <c r="J104" t="s">
        <v>2611</v>
      </c>
      <c r="L104" t="s">
        <v>2184</v>
      </c>
      <c r="M104" t="s">
        <v>3367</v>
      </c>
      <c r="N104" t="s">
        <v>2185</v>
      </c>
      <c r="O104" t="s">
        <v>1673</v>
      </c>
      <c r="P104" t="s">
        <v>1737</v>
      </c>
      <c r="Q104" t="s">
        <v>2186</v>
      </c>
      <c r="R104" t="s">
        <v>604</v>
      </c>
      <c r="S104" t="s">
        <v>2187</v>
      </c>
      <c r="T104" t="s">
        <v>1709</v>
      </c>
    </row>
    <row r="105" spans="1:20" ht="15" customHeight="1" x14ac:dyDescent="0.3">
      <c r="A105" t="s">
        <v>2188</v>
      </c>
      <c r="B105" t="s">
        <v>3367</v>
      </c>
      <c r="C105" t="s">
        <v>3311</v>
      </c>
      <c r="F105" t="s">
        <v>2616</v>
      </c>
      <c r="G105" t="s">
        <v>1736</v>
      </c>
      <c r="H105" t="s">
        <v>2190</v>
      </c>
      <c r="I105" t="s">
        <v>1437</v>
      </c>
      <c r="J105" t="s">
        <v>2611</v>
      </c>
      <c r="L105" t="s">
        <v>2188</v>
      </c>
      <c r="M105" t="s">
        <v>3367</v>
      </c>
      <c r="N105" t="s">
        <v>2189</v>
      </c>
      <c r="O105" t="s">
        <v>1673</v>
      </c>
      <c r="P105" t="s">
        <v>1737</v>
      </c>
      <c r="Q105" t="s">
        <v>2190</v>
      </c>
      <c r="R105" t="s">
        <v>604</v>
      </c>
      <c r="S105" t="s">
        <v>2191</v>
      </c>
      <c r="T105" t="s">
        <v>1710</v>
      </c>
    </row>
    <row r="106" spans="1:20" ht="15" customHeight="1" x14ac:dyDescent="0.3">
      <c r="A106" t="s">
        <v>2192</v>
      </c>
      <c r="B106" t="s">
        <v>3367</v>
      </c>
      <c r="C106" t="s">
        <v>3312</v>
      </c>
      <c r="F106" t="s">
        <v>2616</v>
      </c>
      <c r="G106" t="s">
        <v>1736</v>
      </c>
      <c r="H106" t="s">
        <v>2194</v>
      </c>
      <c r="I106" t="s">
        <v>1437</v>
      </c>
      <c r="J106" t="s">
        <v>2611</v>
      </c>
      <c r="L106" t="s">
        <v>2192</v>
      </c>
      <c r="M106" t="s">
        <v>3367</v>
      </c>
      <c r="N106" t="s">
        <v>2193</v>
      </c>
      <c r="O106" t="s">
        <v>1673</v>
      </c>
      <c r="P106" t="s">
        <v>1737</v>
      </c>
      <c r="Q106" t="s">
        <v>2194</v>
      </c>
      <c r="R106" t="s">
        <v>604</v>
      </c>
      <c r="S106" t="s">
        <v>2195</v>
      </c>
      <c r="T106" t="s">
        <v>1711</v>
      </c>
    </row>
    <row r="107" spans="1:20" ht="15" customHeight="1" x14ac:dyDescent="0.3">
      <c r="A107" t="s">
        <v>2196</v>
      </c>
      <c r="B107" t="s">
        <v>3367</v>
      </c>
      <c r="C107" t="s">
        <v>3313</v>
      </c>
      <c r="F107" t="s">
        <v>2616</v>
      </c>
      <c r="G107" t="s">
        <v>1736</v>
      </c>
      <c r="H107" t="s">
        <v>2198</v>
      </c>
      <c r="I107" t="s">
        <v>1437</v>
      </c>
      <c r="J107" t="s">
        <v>2611</v>
      </c>
      <c r="L107" t="s">
        <v>2196</v>
      </c>
      <c r="M107" t="s">
        <v>3367</v>
      </c>
      <c r="N107" t="s">
        <v>2197</v>
      </c>
      <c r="O107" t="s">
        <v>1673</v>
      </c>
      <c r="P107" t="s">
        <v>1737</v>
      </c>
      <c r="Q107" t="s">
        <v>2198</v>
      </c>
      <c r="R107" t="s">
        <v>604</v>
      </c>
      <c r="S107" t="s">
        <v>2199</v>
      </c>
      <c r="T107" t="s">
        <v>1712</v>
      </c>
    </row>
    <row r="108" spans="1:20" ht="15" customHeight="1" x14ac:dyDescent="0.3">
      <c r="A108" t="s">
        <v>2200</v>
      </c>
      <c r="B108" t="s">
        <v>3367</v>
      </c>
      <c r="C108" t="s">
        <v>3314</v>
      </c>
      <c r="F108" t="s">
        <v>2616</v>
      </c>
      <c r="G108" t="s">
        <v>1736</v>
      </c>
      <c r="H108" t="s">
        <v>2202</v>
      </c>
      <c r="I108" t="s">
        <v>1437</v>
      </c>
      <c r="J108" t="s">
        <v>2611</v>
      </c>
      <c r="L108" t="s">
        <v>2200</v>
      </c>
      <c r="M108" t="s">
        <v>3367</v>
      </c>
      <c r="N108" t="s">
        <v>2201</v>
      </c>
      <c r="O108" t="s">
        <v>1673</v>
      </c>
      <c r="P108" t="s">
        <v>1737</v>
      </c>
      <c r="Q108" t="s">
        <v>2202</v>
      </c>
      <c r="R108" t="s">
        <v>604</v>
      </c>
      <c r="S108" t="s">
        <v>2203</v>
      </c>
      <c r="T108" t="s">
        <v>1713</v>
      </c>
    </row>
    <row r="109" spans="1:20" ht="15" customHeight="1" x14ac:dyDescent="0.3">
      <c r="A109" t="s">
        <v>2204</v>
      </c>
      <c r="B109" t="s">
        <v>3367</v>
      </c>
      <c r="C109" t="s">
        <v>3315</v>
      </c>
      <c r="F109" t="s">
        <v>2617</v>
      </c>
      <c r="G109" t="s">
        <v>1736</v>
      </c>
      <c r="H109" t="s">
        <v>2206</v>
      </c>
      <c r="I109" t="s">
        <v>1437</v>
      </c>
      <c r="J109" t="s">
        <v>2613</v>
      </c>
      <c r="L109" t="s">
        <v>2204</v>
      </c>
      <c r="M109" t="s">
        <v>3367</v>
      </c>
      <c r="N109" t="s">
        <v>2205</v>
      </c>
      <c r="O109" t="s">
        <v>1673</v>
      </c>
      <c r="P109" t="s">
        <v>1737</v>
      </c>
      <c r="Q109" t="s">
        <v>2206</v>
      </c>
      <c r="R109" t="s">
        <v>604</v>
      </c>
      <c r="S109" t="s">
        <v>2207</v>
      </c>
      <c r="T109" t="s">
        <v>1715</v>
      </c>
    </row>
    <row r="110" spans="1:20" ht="15" customHeight="1" x14ac:dyDescent="0.3">
      <c r="A110" t="s">
        <v>2208</v>
      </c>
      <c r="B110" t="s">
        <v>3367</v>
      </c>
      <c r="C110" t="s">
        <v>3316</v>
      </c>
      <c r="F110" t="s">
        <v>2616</v>
      </c>
      <c r="G110" t="s">
        <v>1736</v>
      </c>
      <c r="H110" t="s">
        <v>2210</v>
      </c>
      <c r="I110" t="s">
        <v>1437</v>
      </c>
      <c r="J110" t="s">
        <v>2611</v>
      </c>
      <c r="L110" t="s">
        <v>2208</v>
      </c>
      <c r="M110" t="s">
        <v>3367</v>
      </c>
      <c r="N110" t="s">
        <v>2209</v>
      </c>
      <c r="O110" t="s">
        <v>1673</v>
      </c>
      <c r="P110" t="s">
        <v>1737</v>
      </c>
      <c r="Q110" t="s">
        <v>2210</v>
      </c>
      <c r="R110" t="s">
        <v>604</v>
      </c>
      <c r="S110" t="s">
        <v>2211</v>
      </c>
      <c r="T110" t="s">
        <v>1723</v>
      </c>
    </row>
    <row r="111" spans="1:20" ht="15" customHeight="1" x14ac:dyDescent="0.3">
      <c r="A111" t="s">
        <v>2212</v>
      </c>
      <c r="B111" t="s">
        <v>3367</v>
      </c>
      <c r="C111" t="s">
        <v>3317</v>
      </c>
      <c r="F111" t="s">
        <v>2616</v>
      </c>
      <c r="G111" t="s">
        <v>1736</v>
      </c>
      <c r="H111" t="s">
        <v>2214</v>
      </c>
      <c r="I111" t="s">
        <v>1437</v>
      </c>
      <c r="J111" t="s">
        <v>2611</v>
      </c>
      <c r="L111" t="s">
        <v>2212</v>
      </c>
      <c r="M111" t="s">
        <v>3367</v>
      </c>
      <c r="N111" t="s">
        <v>2213</v>
      </c>
      <c r="O111" t="s">
        <v>1673</v>
      </c>
      <c r="P111" t="s">
        <v>1737</v>
      </c>
      <c r="Q111" t="s">
        <v>2214</v>
      </c>
      <c r="R111" t="s">
        <v>604</v>
      </c>
      <c r="S111" t="s">
        <v>2215</v>
      </c>
      <c r="T111" t="s">
        <v>1724</v>
      </c>
    </row>
    <row r="112" spans="1:20" ht="15" customHeight="1" x14ac:dyDescent="0.3">
      <c r="A112" t="s">
        <v>2216</v>
      </c>
      <c r="B112" t="s">
        <v>3367</v>
      </c>
      <c r="C112" t="s">
        <v>3318</v>
      </c>
      <c r="F112" t="s">
        <v>2617</v>
      </c>
      <c r="G112" t="s">
        <v>1736</v>
      </c>
      <c r="H112" t="s">
        <v>2218</v>
      </c>
      <c r="I112" t="s">
        <v>1437</v>
      </c>
      <c r="J112" t="s">
        <v>2613</v>
      </c>
      <c r="L112" t="s">
        <v>2216</v>
      </c>
      <c r="M112" t="s">
        <v>3367</v>
      </c>
      <c r="N112" t="s">
        <v>2217</v>
      </c>
      <c r="O112" t="s">
        <v>1673</v>
      </c>
      <c r="P112" t="s">
        <v>1737</v>
      </c>
      <c r="Q112" t="s">
        <v>2218</v>
      </c>
      <c r="R112" t="s">
        <v>604</v>
      </c>
      <c r="S112" t="s">
        <v>2219</v>
      </c>
      <c r="T112" t="s">
        <v>1725</v>
      </c>
    </row>
    <row r="113" spans="1:20" ht="15" customHeight="1" x14ac:dyDescent="0.3">
      <c r="A113" t="s">
        <v>2220</v>
      </c>
      <c r="B113" t="s">
        <v>3367</v>
      </c>
      <c r="C113" t="s">
        <v>3319</v>
      </c>
      <c r="F113" t="s">
        <v>2616</v>
      </c>
      <c r="G113" t="s">
        <v>1736</v>
      </c>
      <c r="H113" t="s">
        <v>2222</v>
      </c>
      <c r="I113" t="s">
        <v>1437</v>
      </c>
      <c r="J113" t="s">
        <v>2611</v>
      </c>
      <c r="L113" t="s">
        <v>2220</v>
      </c>
      <c r="M113" t="s">
        <v>3367</v>
      </c>
      <c r="N113" t="s">
        <v>2221</v>
      </c>
      <c r="O113" t="s">
        <v>1673</v>
      </c>
      <c r="P113" t="s">
        <v>1737</v>
      </c>
      <c r="Q113" t="s">
        <v>2222</v>
      </c>
      <c r="R113" t="s">
        <v>604</v>
      </c>
      <c r="S113" t="s">
        <v>2223</v>
      </c>
      <c r="T113" t="s">
        <v>1726</v>
      </c>
    </row>
    <row r="114" spans="1:20" ht="15" customHeight="1" x14ac:dyDescent="0.3">
      <c r="A114" t="s">
        <v>2224</v>
      </c>
      <c r="B114" t="s">
        <v>3367</v>
      </c>
      <c r="C114" t="s">
        <v>3320</v>
      </c>
      <c r="F114" t="s">
        <v>2616</v>
      </c>
      <c r="G114" t="s">
        <v>1736</v>
      </c>
      <c r="H114" t="s">
        <v>2226</v>
      </c>
      <c r="I114" t="s">
        <v>1437</v>
      </c>
      <c r="J114" t="s">
        <v>2611</v>
      </c>
      <c r="L114" t="s">
        <v>2224</v>
      </c>
      <c r="M114" t="s">
        <v>3367</v>
      </c>
      <c r="N114" t="s">
        <v>2225</v>
      </c>
      <c r="O114" t="s">
        <v>1673</v>
      </c>
      <c r="P114" t="s">
        <v>1737</v>
      </c>
      <c r="Q114" t="s">
        <v>2226</v>
      </c>
      <c r="R114" t="s">
        <v>604</v>
      </c>
      <c r="S114" t="s">
        <v>2227</v>
      </c>
      <c r="T114" t="s">
        <v>1727</v>
      </c>
    </row>
    <row r="115" spans="1:20" ht="15" customHeight="1" x14ac:dyDescent="0.3">
      <c r="A115" t="s">
        <v>2228</v>
      </c>
      <c r="B115" t="s">
        <v>3367</v>
      </c>
      <c r="C115" t="s">
        <v>3321</v>
      </c>
      <c r="F115" t="s">
        <v>2616</v>
      </c>
      <c r="G115" t="s">
        <v>1736</v>
      </c>
      <c r="H115" t="s">
        <v>2230</v>
      </c>
      <c r="I115" t="s">
        <v>1437</v>
      </c>
      <c r="J115" t="s">
        <v>2611</v>
      </c>
      <c r="L115" t="s">
        <v>2228</v>
      </c>
      <c r="M115" t="s">
        <v>3367</v>
      </c>
      <c r="N115" t="s">
        <v>2229</v>
      </c>
      <c r="O115" t="s">
        <v>1673</v>
      </c>
      <c r="P115" t="s">
        <v>1737</v>
      </c>
      <c r="Q115" t="s">
        <v>2230</v>
      </c>
      <c r="R115" t="s">
        <v>604</v>
      </c>
      <c r="S115" t="s">
        <v>2231</v>
      </c>
      <c r="T115" t="s">
        <v>1728</v>
      </c>
    </row>
    <row r="116" spans="1:20" ht="15" customHeight="1" x14ac:dyDescent="0.3">
      <c r="A116" t="s">
        <v>2232</v>
      </c>
      <c r="B116" t="s">
        <v>3367</v>
      </c>
      <c r="C116" t="s">
        <v>3322</v>
      </c>
      <c r="F116" t="s">
        <v>2616</v>
      </c>
      <c r="G116" t="s">
        <v>1736</v>
      </c>
      <c r="H116" t="s">
        <v>2234</v>
      </c>
      <c r="I116" t="s">
        <v>1437</v>
      </c>
      <c r="J116" t="s">
        <v>2611</v>
      </c>
      <c r="L116" t="s">
        <v>2232</v>
      </c>
      <c r="M116" t="s">
        <v>3367</v>
      </c>
      <c r="N116" t="s">
        <v>2233</v>
      </c>
      <c r="O116" t="s">
        <v>1673</v>
      </c>
      <c r="P116" t="s">
        <v>1737</v>
      </c>
      <c r="Q116" t="s">
        <v>2234</v>
      </c>
      <c r="R116" t="s">
        <v>604</v>
      </c>
      <c r="S116" t="s">
        <v>2235</v>
      </c>
      <c r="T116" t="s">
        <v>1729</v>
      </c>
    </row>
    <row r="117" spans="1:20" ht="15" customHeight="1" x14ac:dyDescent="0.3">
      <c r="A117" t="s">
        <v>2236</v>
      </c>
      <c r="B117" t="s">
        <v>3367</v>
      </c>
      <c r="C117" t="s">
        <v>3323</v>
      </c>
      <c r="F117" t="s">
        <v>2616</v>
      </c>
      <c r="G117" t="s">
        <v>1736</v>
      </c>
      <c r="H117" t="s">
        <v>2238</v>
      </c>
      <c r="I117" t="s">
        <v>1437</v>
      </c>
      <c r="J117" t="s">
        <v>2611</v>
      </c>
      <c r="L117" t="s">
        <v>2236</v>
      </c>
      <c r="M117" t="s">
        <v>3367</v>
      </c>
      <c r="N117" t="s">
        <v>2237</v>
      </c>
      <c r="O117" t="s">
        <v>1673</v>
      </c>
      <c r="P117" t="s">
        <v>1737</v>
      </c>
      <c r="Q117" t="s">
        <v>2238</v>
      </c>
      <c r="R117" t="s">
        <v>604</v>
      </c>
      <c r="S117" t="s">
        <v>2239</v>
      </c>
      <c r="T117" t="s">
        <v>1730</v>
      </c>
    </row>
    <row r="118" spans="1:20" ht="15" customHeight="1" x14ac:dyDescent="0.3">
      <c r="A118" t="s">
        <v>2240</v>
      </c>
      <c r="B118" t="s">
        <v>3367</v>
      </c>
      <c r="C118" t="s">
        <v>3324</v>
      </c>
      <c r="F118" t="s">
        <v>2616</v>
      </c>
      <c r="G118" t="s">
        <v>1736</v>
      </c>
      <c r="H118" t="s">
        <v>2242</v>
      </c>
      <c r="I118" t="s">
        <v>1437</v>
      </c>
      <c r="J118" t="s">
        <v>2611</v>
      </c>
      <c r="L118" t="s">
        <v>2240</v>
      </c>
      <c r="M118" t="s">
        <v>3367</v>
      </c>
      <c r="N118" t="s">
        <v>2241</v>
      </c>
      <c r="O118" t="s">
        <v>1673</v>
      </c>
      <c r="P118" t="s">
        <v>1737</v>
      </c>
      <c r="Q118" t="s">
        <v>2242</v>
      </c>
      <c r="R118" t="s">
        <v>604</v>
      </c>
      <c r="S118" t="s">
        <v>2243</v>
      </c>
      <c r="T118" t="s">
        <v>1731</v>
      </c>
    </row>
    <row r="119" spans="1:20" ht="15" customHeight="1" x14ac:dyDescent="0.3">
      <c r="A119" t="s">
        <v>2244</v>
      </c>
      <c r="B119" t="s">
        <v>3367</v>
      </c>
      <c r="C119" t="s">
        <v>3325</v>
      </c>
      <c r="F119" t="s">
        <v>2616</v>
      </c>
      <c r="G119" t="s">
        <v>1736</v>
      </c>
      <c r="H119" t="s">
        <v>2246</v>
      </c>
      <c r="I119" t="s">
        <v>1437</v>
      </c>
      <c r="J119" t="s">
        <v>2611</v>
      </c>
      <c r="L119" t="s">
        <v>2244</v>
      </c>
      <c r="M119" t="s">
        <v>3367</v>
      </c>
      <c r="N119" t="s">
        <v>2245</v>
      </c>
      <c r="O119" t="s">
        <v>1673</v>
      </c>
      <c r="P119" t="s">
        <v>1737</v>
      </c>
      <c r="Q119" t="s">
        <v>2246</v>
      </c>
      <c r="R119" t="s">
        <v>604</v>
      </c>
      <c r="S119" t="s">
        <v>2247</v>
      </c>
      <c r="T119" t="s">
        <v>1732</v>
      </c>
    </row>
    <row r="120" spans="1:20" ht="15" customHeight="1" x14ac:dyDescent="0.3">
      <c r="A120" t="s">
        <v>2248</v>
      </c>
      <c r="B120" t="s">
        <v>3367</v>
      </c>
      <c r="C120" t="s">
        <v>3326</v>
      </c>
      <c r="F120" t="s">
        <v>2616</v>
      </c>
      <c r="G120" t="s">
        <v>1736</v>
      </c>
      <c r="H120" t="s">
        <v>2250</v>
      </c>
      <c r="I120" t="s">
        <v>1437</v>
      </c>
      <c r="J120" t="s">
        <v>2611</v>
      </c>
      <c r="L120" t="s">
        <v>2248</v>
      </c>
      <c r="M120" t="s">
        <v>3367</v>
      </c>
      <c r="N120" t="s">
        <v>2249</v>
      </c>
      <c r="O120" t="s">
        <v>1673</v>
      </c>
      <c r="P120" t="s">
        <v>1737</v>
      </c>
      <c r="Q120" t="s">
        <v>2250</v>
      </c>
      <c r="R120" t="s">
        <v>604</v>
      </c>
      <c r="S120" t="s">
        <v>2251</v>
      </c>
      <c r="T120" t="s">
        <v>1733</v>
      </c>
    </row>
    <row r="121" spans="1:20" ht="15" customHeight="1" x14ac:dyDescent="0.3">
      <c r="A121" t="s">
        <v>2252</v>
      </c>
      <c r="B121" t="s">
        <v>3367</v>
      </c>
      <c r="C121" t="s">
        <v>3327</v>
      </c>
      <c r="F121" t="s">
        <v>2616</v>
      </c>
      <c r="G121" t="s">
        <v>1736</v>
      </c>
      <c r="H121" t="s">
        <v>2254</v>
      </c>
      <c r="I121" t="s">
        <v>1437</v>
      </c>
      <c r="J121" t="s">
        <v>2611</v>
      </c>
      <c r="L121" t="s">
        <v>2252</v>
      </c>
      <c r="M121" t="s">
        <v>3367</v>
      </c>
      <c r="N121" t="s">
        <v>2253</v>
      </c>
      <c r="O121" t="s">
        <v>1673</v>
      </c>
      <c r="P121" t="s">
        <v>1737</v>
      </c>
      <c r="Q121" t="s">
        <v>2254</v>
      </c>
      <c r="R121" t="s">
        <v>604</v>
      </c>
      <c r="S121" t="s">
        <v>2255</v>
      </c>
      <c r="T121" t="s">
        <v>1734</v>
      </c>
    </row>
    <row r="122" spans="1:20" ht="15" customHeight="1" x14ac:dyDescent="0.3">
      <c r="A122" t="s">
        <v>2256</v>
      </c>
      <c r="B122" t="s">
        <v>3367</v>
      </c>
      <c r="C122" t="s">
        <v>3328</v>
      </c>
      <c r="F122" t="s">
        <v>2618</v>
      </c>
      <c r="G122" t="s">
        <v>1738</v>
      </c>
      <c r="H122" t="s">
        <v>2258</v>
      </c>
      <c r="I122" t="s">
        <v>1437</v>
      </c>
      <c r="J122" t="s">
        <v>2611</v>
      </c>
      <c r="L122" t="s">
        <v>2256</v>
      </c>
      <c r="M122" t="s">
        <v>3367</v>
      </c>
      <c r="N122" t="s">
        <v>2257</v>
      </c>
      <c r="O122" t="s">
        <v>1673</v>
      </c>
      <c r="P122" t="s">
        <v>1739</v>
      </c>
      <c r="Q122" t="s">
        <v>2258</v>
      </c>
      <c r="R122" t="s">
        <v>604</v>
      </c>
      <c r="S122" t="s">
        <v>2259</v>
      </c>
      <c r="T122" t="s">
        <v>1675</v>
      </c>
    </row>
    <row r="123" spans="1:20" ht="15" customHeight="1" x14ac:dyDescent="0.3">
      <c r="A123" t="s">
        <v>2260</v>
      </c>
      <c r="B123" t="s">
        <v>3367</v>
      </c>
      <c r="C123" t="s">
        <v>3329</v>
      </c>
      <c r="F123" t="s">
        <v>2618</v>
      </c>
      <c r="G123" t="s">
        <v>1738</v>
      </c>
      <c r="H123" t="s">
        <v>2262</v>
      </c>
      <c r="I123" t="s">
        <v>1437</v>
      </c>
      <c r="J123" t="s">
        <v>2611</v>
      </c>
      <c r="L123" t="s">
        <v>2260</v>
      </c>
      <c r="M123" t="s">
        <v>3367</v>
      </c>
      <c r="N123" t="s">
        <v>2261</v>
      </c>
      <c r="O123" t="s">
        <v>1673</v>
      </c>
      <c r="P123" t="s">
        <v>1739</v>
      </c>
      <c r="Q123" t="s">
        <v>2262</v>
      </c>
      <c r="R123" t="s">
        <v>604</v>
      </c>
      <c r="S123" t="s">
        <v>2263</v>
      </c>
      <c r="T123" t="s">
        <v>1676</v>
      </c>
    </row>
    <row r="124" spans="1:20" ht="15" customHeight="1" x14ac:dyDescent="0.3">
      <c r="A124" t="s">
        <v>2264</v>
      </c>
      <c r="B124" t="s">
        <v>3367</v>
      </c>
      <c r="C124" t="s">
        <v>3330</v>
      </c>
      <c r="F124" t="s">
        <v>2618</v>
      </c>
      <c r="G124" t="s">
        <v>1738</v>
      </c>
      <c r="H124" t="s">
        <v>2266</v>
      </c>
      <c r="I124" t="s">
        <v>1437</v>
      </c>
      <c r="J124" t="s">
        <v>2611</v>
      </c>
      <c r="L124" t="s">
        <v>2264</v>
      </c>
      <c r="M124" t="s">
        <v>3367</v>
      </c>
      <c r="N124" t="s">
        <v>2265</v>
      </c>
      <c r="O124" t="s">
        <v>1673</v>
      </c>
      <c r="P124" t="s">
        <v>1739</v>
      </c>
      <c r="Q124" t="s">
        <v>2266</v>
      </c>
      <c r="R124" t="s">
        <v>604</v>
      </c>
      <c r="S124" t="s">
        <v>2267</v>
      </c>
      <c r="T124" t="s">
        <v>1677</v>
      </c>
    </row>
    <row r="125" spans="1:20" ht="15" customHeight="1" x14ac:dyDescent="0.3">
      <c r="A125" t="s">
        <v>2268</v>
      </c>
      <c r="B125" t="s">
        <v>3367</v>
      </c>
      <c r="C125" t="s">
        <v>3331</v>
      </c>
      <c r="F125" t="s">
        <v>2618</v>
      </c>
      <c r="G125" t="s">
        <v>1738</v>
      </c>
      <c r="H125" t="s">
        <v>2270</v>
      </c>
      <c r="I125" t="s">
        <v>1437</v>
      </c>
      <c r="J125" t="s">
        <v>2611</v>
      </c>
      <c r="L125" t="s">
        <v>2268</v>
      </c>
      <c r="M125" t="s">
        <v>3367</v>
      </c>
      <c r="N125" t="s">
        <v>2269</v>
      </c>
      <c r="O125" t="s">
        <v>1673</v>
      </c>
      <c r="P125" t="s">
        <v>1739</v>
      </c>
      <c r="Q125" t="s">
        <v>2270</v>
      </c>
      <c r="R125" t="s">
        <v>604</v>
      </c>
      <c r="S125" t="s">
        <v>2271</v>
      </c>
      <c r="T125" t="s">
        <v>1678</v>
      </c>
    </row>
    <row r="126" spans="1:20" ht="15" customHeight="1" x14ac:dyDescent="0.3">
      <c r="A126" t="s">
        <v>2272</v>
      </c>
      <c r="B126" t="s">
        <v>3367</v>
      </c>
      <c r="C126" t="s">
        <v>3332</v>
      </c>
      <c r="F126" t="s">
        <v>2619</v>
      </c>
      <c r="G126" t="s">
        <v>1738</v>
      </c>
      <c r="H126" t="s">
        <v>2274</v>
      </c>
      <c r="I126" t="s">
        <v>1437</v>
      </c>
      <c r="J126" t="s">
        <v>2613</v>
      </c>
      <c r="L126" t="s">
        <v>2272</v>
      </c>
      <c r="M126" t="s">
        <v>3367</v>
      </c>
      <c r="N126" t="s">
        <v>2273</v>
      </c>
      <c r="O126" t="s">
        <v>1673</v>
      </c>
      <c r="P126" t="s">
        <v>1739</v>
      </c>
      <c r="Q126" t="s">
        <v>2274</v>
      </c>
      <c r="R126" t="s">
        <v>604</v>
      </c>
      <c r="S126" t="s">
        <v>2275</v>
      </c>
      <c r="T126" t="s">
        <v>1679</v>
      </c>
    </row>
    <row r="127" spans="1:20" ht="15" customHeight="1" x14ac:dyDescent="0.3">
      <c r="A127" t="s">
        <v>2276</v>
      </c>
      <c r="B127" t="s">
        <v>3367</v>
      </c>
      <c r="C127" t="s">
        <v>3333</v>
      </c>
      <c r="F127" t="s">
        <v>2619</v>
      </c>
      <c r="G127" t="s">
        <v>1738</v>
      </c>
      <c r="H127" t="s">
        <v>2278</v>
      </c>
      <c r="I127" t="s">
        <v>1437</v>
      </c>
      <c r="J127" t="s">
        <v>2613</v>
      </c>
      <c r="L127" t="s">
        <v>2276</v>
      </c>
      <c r="M127" t="s">
        <v>3367</v>
      </c>
      <c r="N127" t="s">
        <v>2277</v>
      </c>
      <c r="O127" t="s">
        <v>1673</v>
      </c>
      <c r="P127" t="s">
        <v>1739</v>
      </c>
      <c r="Q127" t="s">
        <v>2278</v>
      </c>
      <c r="R127" t="s">
        <v>604</v>
      </c>
      <c r="S127" t="s">
        <v>2279</v>
      </c>
      <c r="T127" t="s">
        <v>1680</v>
      </c>
    </row>
    <row r="128" spans="1:20" ht="15" customHeight="1" x14ac:dyDescent="0.3">
      <c r="A128" t="s">
        <v>2280</v>
      </c>
      <c r="B128" t="s">
        <v>3367</v>
      </c>
      <c r="C128" t="s">
        <v>3334</v>
      </c>
      <c r="F128" t="s">
        <v>2618</v>
      </c>
      <c r="G128" t="s">
        <v>1738</v>
      </c>
      <c r="H128" t="s">
        <v>2282</v>
      </c>
      <c r="I128" t="s">
        <v>1437</v>
      </c>
      <c r="J128" t="s">
        <v>2611</v>
      </c>
      <c r="L128" t="s">
        <v>2280</v>
      </c>
      <c r="M128" t="s">
        <v>3367</v>
      </c>
      <c r="N128" t="s">
        <v>2281</v>
      </c>
      <c r="O128" t="s">
        <v>1673</v>
      </c>
      <c r="P128" t="s">
        <v>1739</v>
      </c>
      <c r="Q128" t="s">
        <v>2282</v>
      </c>
      <c r="R128" t="s">
        <v>604</v>
      </c>
      <c r="S128" t="s">
        <v>2283</v>
      </c>
      <c r="T128" t="s">
        <v>1681</v>
      </c>
    </row>
    <row r="129" spans="1:20" ht="15" customHeight="1" x14ac:dyDescent="0.3">
      <c r="A129" t="s">
        <v>2284</v>
      </c>
      <c r="B129" t="s">
        <v>3367</v>
      </c>
      <c r="C129" t="s">
        <v>3335</v>
      </c>
      <c r="F129" t="s">
        <v>2618</v>
      </c>
      <c r="G129" t="s">
        <v>1738</v>
      </c>
      <c r="H129" t="s">
        <v>2286</v>
      </c>
      <c r="I129" t="s">
        <v>1437</v>
      </c>
      <c r="J129" t="s">
        <v>2611</v>
      </c>
      <c r="L129" t="s">
        <v>2284</v>
      </c>
      <c r="M129" t="s">
        <v>3367</v>
      </c>
      <c r="N129" t="s">
        <v>2285</v>
      </c>
      <c r="O129" t="s">
        <v>1673</v>
      </c>
      <c r="P129" t="s">
        <v>1739</v>
      </c>
      <c r="Q129" t="s">
        <v>2286</v>
      </c>
      <c r="R129" t="s">
        <v>604</v>
      </c>
      <c r="S129" t="s">
        <v>2287</v>
      </c>
      <c r="T129" t="s">
        <v>1682</v>
      </c>
    </row>
    <row r="130" spans="1:20" ht="15" customHeight="1" x14ac:dyDescent="0.3">
      <c r="A130" t="s">
        <v>2288</v>
      </c>
      <c r="B130" t="s">
        <v>3367</v>
      </c>
      <c r="C130" t="s">
        <v>3336</v>
      </c>
      <c r="F130" t="s">
        <v>2618</v>
      </c>
      <c r="G130" t="s">
        <v>1738</v>
      </c>
      <c r="H130" t="s">
        <v>2290</v>
      </c>
      <c r="I130" t="s">
        <v>1437</v>
      </c>
      <c r="J130" t="s">
        <v>2611</v>
      </c>
      <c r="L130" t="s">
        <v>2288</v>
      </c>
      <c r="M130" t="s">
        <v>3367</v>
      </c>
      <c r="N130" t="s">
        <v>2289</v>
      </c>
      <c r="O130" t="s">
        <v>1673</v>
      </c>
      <c r="P130" t="s">
        <v>1739</v>
      </c>
      <c r="Q130" t="s">
        <v>2290</v>
      </c>
      <c r="R130" t="s">
        <v>604</v>
      </c>
      <c r="S130" t="s">
        <v>2291</v>
      </c>
      <c r="T130" t="s">
        <v>1683</v>
      </c>
    </row>
    <row r="131" spans="1:20" ht="15" customHeight="1" x14ac:dyDescent="0.3">
      <c r="A131" t="s">
        <v>2292</v>
      </c>
      <c r="B131" t="s">
        <v>3367</v>
      </c>
      <c r="C131" t="s">
        <v>3337</v>
      </c>
      <c r="F131" t="s">
        <v>2620</v>
      </c>
      <c r="G131" t="s">
        <v>206</v>
      </c>
      <c r="H131" t="s">
        <v>2294</v>
      </c>
      <c r="I131" t="s">
        <v>1437</v>
      </c>
      <c r="J131" t="s">
        <v>2611</v>
      </c>
      <c r="L131" t="s">
        <v>2292</v>
      </c>
      <c r="M131" t="s">
        <v>3367</v>
      </c>
      <c r="N131" t="s">
        <v>2293</v>
      </c>
      <c r="O131" t="s">
        <v>1673</v>
      </c>
      <c r="P131" t="s">
        <v>1740</v>
      </c>
      <c r="Q131" t="s">
        <v>2294</v>
      </c>
      <c r="R131" t="s">
        <v>604</v>
      </c>
      <c r="S131" t="s">
        <v>2295</v>
      </c>
      <c r="T131" t="s">
        <v>1741</v>
      </c>
    </row>
    <row r="132" spans="1:20" ht="15" customHeight="1" x14ac:dyDescent="0.3">
      <c r="A132" t="s">
        <v>2296</v>
      </c>
      <c r="B132" t="s">
        <v>3367</v>
      </c>
      <c r="C132" t="s">
        <v>3338</v>
      </c>
      <c r="F132" t="s">
        <v>2620</v>
      </c>
      <c r="G132" t="s">
        <v>206</v>
      </c>
      <c r="H132" t="s">
        <v>2298</v>
      </c>
      <c r="I132" t="s">
        <v>1437</v>
      </c>
      <c r="J132" t="s">
        <v>2611</v>
      </c>
      <c r="L132" t="s">
        <v>2296</v>
      </c>
      <c r="M132" t="s">
        <v>3367</v>
      </c>
      <c r="N132" t="s">
        <v>2297</v>
      </c>
      <c r="O132" t="s">
        <v>1673</v>
      </c>
      <c r="P132" t="s">
        <v>1740</v>
      </c>
      <c r="Q132" t="s">
        <v>2298</v>
      </c>
      <c r="R132" t="s">
        <v>604</v>
      </c>
      <c r="S132" t="s">
        <v>2299</v>
      </c>
      <c r="T132" t="s">
        <v>1742</v>
      </c>
    </row>
    <row r="133" spans="1:20" ht="15" customHeight="1" x14ac:dyDescent="0.3">
      <c r="A133" t="s">
        <v>2300</v>
      </c>
      <c r="B133" t="s">
        <v>3367</v>
      </c>
      <c r="C133" t="s">
        <v>3339</v>
      </c>
      <c r="F133" t="s">
        <v>2621</v>
      </c>
      <c r="G133" t="s">
        <v>206</v>
      </c>
      <c r="H133" t="s">
        <v>2302</v>
      </c>
      <c r="I133" t="s">
        <v>1437</v>
      </c>
      <c r="J133" t="s">
        <v>2613</v>
      </c>
      <c r="L133" t="s">
        <v>2300</v>
      </c>
      <c r="M133" t="s">
        <v>3367</v>
      </c>
      <c r="N133" t="s">
        <v>2301</v>
      </c>
      <c r="O133" t="s">
        <v>1673</v>
      </c>
      <c r="P133" t="s">
        <v>1740</v>
      </c>
      <c r="Q133" t="s">
        <v>2302</v>
      </c>
      <c r="R133" t="s">
        <v>604</v>
      </c>
      <c r="S133" t="s">
        <v>2303</v>
      </c>
      <c r="T133" t="s">
        <v>1743</v>
      </c>
    </row>
    <row r="134" spans="1:20" ht="15" customHeight="1" x14ac:dyDescent="0.3">
      <c r="A134" t="s">
        <v>2304</v>
      </c>
      <c r="B134" t="s">
        <v>3367</v>
      </c>
      <c r="C134" t="s">
        <v>3340</v>
      </c>
      <c r="F134" t="s">
        <v>2621</v>
      </c>
      <c r="G134" t="s">
        <v>206</v>
      </c>
      <c r="H134" t="s">
        <v>2306</v>
      </c>
      <c r="I134" t="s">
        <v>1437</v>
      </c>
      <c r="J134" t="s">
        <v>2613</v>
      </c>
      <c r="L134" t="s">
        <v>2304</v>
      </c>
      <c r="M134" t="s">
        <v>3367</v>
      </c>
      <c r="N134" t="s">
        <v>2305</v>
      </c>
      <c r="O134" t="s">
        <v>1673</v>
      </c>
      <c r="P134" t="s">
        <v>1740</v>
      </c>
      <c r="Q134" t="s">
        <v>2306</v>
      </c>
      <c r="R134" t="s">
        <v>604</v>
      </c>
      <c r="S134" t="s">
        <v>2307</v>
      </c>
      <c r="T134" t="s">
        <v>1744</v>
      </c>
    </row>
    <row r="135" spans="1:20" ht="15" customHeight="1" x14ac:dyDescent="0.3">
      <c r="A135" t="s">
        <v>2308</v>
      </c>
      <c r="B135" t="s">
        <v>3367</v>
      </c>
      <c r="C135" t="s">
        <v>3341</v>
      </c>
      <c r="F135" t="s">
        <v>2620</v>
      </c>
      <c r="G135" t="s">
        <v>206</v>
      </c>
      <c r="H135" t="s">
        <v>2310</v>
      </c>
      <c r="I135" t="s">
        <v>1437</v>
      </c>
      <c r="J135" t="s">
        <v>2611</v>
      </c>
      <c r="L135" t="s">
        <v>2308</v>
      </c>
      <c r="M135" t="s">
        <v>3367</v>
      </c>
      <c r="N135" t="s">
        <v>2309</v>
      </c>
      <c r="O135" t="s">
        <v>1673</v>
      </c>
      <c r="P135" t="s">
        <v>1740</v>
      </c>
      <c r="Q135" t="s">
        <v>2310</v>
      </c>
      <c r="R135" t="s">
        <v>604</v>
      </c>
      <c r="S135" t="s">
        <v>2311</v>
      </c>
      <c r="T135" t="s">
        <v>1745</v>
      </c>
    </row>
    <row r="136" spans="1:20" ht="15" customHeight="1" x14ac:dyDescent="0.3">
      <c r="A136" t="s">
        <v>2312</v>
      </c>
      <c r="B136" t="s">
        <v>3367</v>
      </c>
      <c r="C136" t="s">
        <v>3342</v>
      </c>
      <c r="F136" t="s">
        <v>2620</v>
      </c>
      <c r="G136" t="s">
        <v>206</v>
      </c>
      <c r="H136" t="s">
        <v>2314</v>
      </c>
      <c r="I136" t="s">
        <v>1437</v>
      </c>
      <c r="J136" t="s">
        <v>2611</v>
      </c>
      <c r="L136" t="s">
        <v>2312</v>
      </c>
      <c r="M136" t="s">
        <v>3367</v>
      </c>
      <c r="N136" t="s">
        <v>2313</v>
      </c>
      <c r="O136" t="s">
        <v>1673</v>
      </c>
      <c r="P136" t="s">
        <v>1740</v>
      </c>
      <c r="Q136" t="s">
        <v>2314</v>
      </c>
      <c r="R136" t="s">
        <v>604</v>
      </c>
      <c r="S136" t="s">
        <v>2315</v>
      </c>
      <c r="T136" t="s">
        <v>1746</v>
      </c>
    </row>
    <row r="137" spans="1:20" ht="15" customHeight="1" x14ac:dyDescent="0.3">
      <c r="A137" t="s">
        <v>2316</v>
      </c>
      <c r="B137" t="s">
        <v>3367</v>
      </c>
      <c r="C137" t="s">
        <v>3343</v>
      </c>
      <c r="F137" t="s">
        <v>2621</v>
      </c>
      <c r="G137" t="s">
        <v>206</v>
      </c>
      <c r="H137" t="s">
        <v>2318</v>
      </c>
      <c r="I137" t="s">
        <v>1437</v>
      </c>
      <c r="J137" t="s">
        <v>2613</v>
      </c>
      <c r="L137" t="s">
        <v>2316</v>
      </c>
      <c r="M137" t="s">
        <v>3367</v>
      </c>
      <c r="N137" t="s">
        <v>2317</v>
      </c>
      <c r="O137" t="s">
        <v>1673</v>
      </c>
      <c r="P137" t="s">
        <v>1740</v>
      </c>
      <c r="Q137" t="s">
        <v>2318</v>
      </c>
      <c r="R137" t="s">
        <v>604</v>
      </c>
      <c r="S137" t="s">
        <v>2319</v>
      </c>
      <c r="T137" t="s">
        <v>1747</v>
      </c>
    </row>
    <row r="138" spans="1:20" ht="15" customHeight="1" x14ac:dyDescent="0.3">
      <c r="A138" t="s">
        <v>2320</v>
      </c>
      <c r="B138" t="s">
        <v>3367</v>
      </c>
      <c r="C138" t="s">
        <v>3344</v>
      </c>
      <c r="F138" t="s">
        <v>2621</v>
      </c>
      <c r="G138" t="s">
        <v>206</v>
      </c>
      <c r="H138" t="s">
        <v>2322</v>
      </c>
      <c r="I138" t="s">
        <v>1437</v>
      </c>
      <c r="J138" t="s">
        <v>2613</v>
      </c>
      <c r="L138" t="s">
        <v>2320</v>
      </c>
      <c r="M138" t="s">
        <v>3367</v>
      </c>
      <c r="N138" t="s">
        <v>2321</v>
      </c>
      <c r="O138" t="s">
        <v>1673</v>
      </c>
      <c r="P138" t="s">
        <v>1740</v>
      </c>
      <c r="Q138" t="s">
        <v>2322</v>
      </c>
      <c r="R138" t="s">
        <v>604</v>
      </c>
      <c r="S138" t="s">
        <v>2323</v>
      </c>
      <c r="T138" t="s">
        <v>1748</v>
      </c>
    </row>
    <row r="139" spans="1:20" ht="15" customHeight="1" x14ac:dyDescent="0.3">
      <c r="A139" t="s">
        <v>2324</v>
      </c>
      <c r="B139" t="s">
        <v>3367</v>
      </c>
      <c r="C139" t="s">
        <v>3345</v>
      </c>
      <c r="F139" t="s">
        <v>2620</v>
      </c>
      <c r="G139" t="s">
        <v>206</v>
      </c>
      <c r="H139" t="s">
        <v>2326</v>
      </c>
      <c r="I139" t="s">
        <v>1437</v>
      </c>
      <c r="J139" t="s">
        <v>2611</v>
      </c>
      <c r="L139" t="s">
        <v>2324</v>
      </c>
      <c r="M139" t="s">
        <v>3367</v>
      </c>
      <c r="N139" t="s">
        <v>2325</v>
      </c>
      <c r="O139" t="s">
        <v>1673</v>
      </c>
      <c r="P139" t="s">
        <v>1740</v>
      </c>
      <c r="Q139" t="s">
        <v>2326</v>
      </c>
      <c r="R139" t="s">
        <v>604</v>
      </c>
      <c r="S139" t="s">
        <v>2327</v>
      </c>
      <c r="T139" t="s">
        <v>1749</v>
      </c>
    </row>
    <row r="140" spans="1:20" ht="15" customHeight="1" x14ac:dyDescent="0.3">
      <c r="A140" t="s">
        <v>2328</v>
      </c>
      <c r="B140" t="s">
        <v>3367</v>
      </c>
      <c r="C140" t="s">
        <v>3346</v>
      </c>
      <c r="F140" t="s">
        <v>2620</v>
      </c>
      <c r="G140" t="s">
        <v>206</v>
      </c>
      <c r="H140" t="s">
        <v>2330</v>
      </c>
      <c r="I140" t="s">
        <v>1437</v>
      </c>
      <c r="J140" t="s">
        <v>2611</v>
      </c>
      <c r="L140" t="s">
        <v>2328</v>
      </c>
      <c r="M140" t="s">
        <v>3367</v>
      </c>
      <c r="N140" t="s">
        <v>2329</v>
      </c>
      <c r="O140" t="s">
        <v>1673</v>
      </c>
      <c r="P140" t="s">
        <v>1740</v>
      </c>
      <c r="Q140" t="s">
        <v>2330</v>
      </c>
      <c r="R140" t="s">
        <v>604</v>
      </c>
      <c r="S140" t="s">
        <v>2331</v>
      </c>
      <c r="T140" t="s">
        <v>1750</v>
      </c>
    </row>
    <row r="141" spans="1:20" ht="15" customHeight="1" x14ac:dyDescent="0.3">
      <c r="A141" t="s">
        <v>2332</v>
      </c>
      <c r="B141" t="s">
        <v>3367</v>
      </c>
      <c r="C141" t="s">
        <v>3347</v>
      </c>
      <c r="F141" t="s">
        <v>2620</v>
      </c>
      <c r="G141" t="s">
        <v>206</v>
      </c>
      <c r="H141" t="s">
        <v>2334</v>
      </c>
      <c r="I141" t="s">
        <v>1437</v>
      </c>
      <c r="J141" t="s">
        <v>2611</v>
      </c>
      <c r="L141" t="s">
        <v>2332</v>
      </c>
      <c r="M141" t="s">
        <v>3367</v>
      </c>
      <c r="N141" t="s">
        <v>2333</v>
      </c>
      <c r="O141" t="s">
        <v>1673</v>
      </c>
      <c r="P141" t="s">
        <v>1740</v>
      </c>
      <c r="Q141" t="s">
        <v>2334</v>
      </c>
      <c r="R141" t="s">
        <v>604</v>
      </c>
      <c r="S141" t="s">
        <v>2335</v>
      </c>
      <c r="T141" t="s">
        <v>1751</v>
      </c>
    </row>
    <row r="142" spans="1:20" ht="15" customHeight="1" x14ac:dyDescent="0.3">
      <c r="A142" t="s">
        <v>2336</v>
      </c>
      <c r="B142" t="s">
        <v>3367</v>
      </c>
      <c r="C142" t="s">
        <v>3348</v>
      </c>
      <c r="F142" t="s">
        <v>2620</v>
      </c>
      <c r="G142" t="s">
        <v>206</v>
      </c>
      <c r="H142" t="s">
        <v>2338</v>
      </c>
      <c r="I142" t="s">
        <v>1437</v>
      </c>
      <c r="J142" t="s">
        <v>2611</v>
      </c>
      <c r="L142" t="s">
        <v>2336</v>
      </c>
      <c r="M142" t="s">
        <v>3367</v>
      </c>
      <c r="N142" t="s">
        <v>2337</v>
      </c>
      <c r="O142" t="s">
        <v>1673</v>
      </c>
      <c r="P142" t="s">
        <v>1740</v>
      </c>
      <c r="Q142" t="s">
        <v>2338</v>
      </c>
      <c r="R142" t="s">
        <v>604</v>
      </c>
      <c r="S142" t="s">
        <v>2339</v>
      </c>
      <c r="T142" t="s">
        <v>1752</v>
      </c>
    </row>
    <row r="143" spans="1:20" ht="15" customHeight="1" x14ac:dyDescent="0.3">
      <c r="A143" t="s">
        <v>2340</v>
      </c>
      <c r="B143" t="s">
        <v>3367</v>
      </c>
      <c r="C143" t="s">
        <v>3349</v>
      </c>
      <c r="F143" t="s">
        <v>2620</v>
      </c>
      <c r="G143" t="s">
        <v>206</v>
      </c>
      <c r="H143" t="s">
        <v>2342</v>
      </c>
      <c r="I143" t="s">
        <v>1437</v>
      </c>
      <c r="J143" t="s">
        <v>2611</v>
      </c>
      <c r="L143" t="s">
        <v>2340</v>
      </c>
      <c r="M143" t="s">
        <v>3367</v>
      </c>
      <c r="N143" t="s">
        <v>2341</v>
      </c>
      <c r="O143" t="s">
        <v>1673</v>
      </c>
      <c r="P143" t="s">
        <v>1740</v>
      </c>
      <c r="Q143" t="s">
        <v>2342</v>
      </c>
      <c r="R143" t="s">
        <v>604</v>
      </c>
      <c r="S143" t="s">
        <v>2343</v>
      </c>
      <c r="T143" t="s">
        <v>1753</v>
      </c>
    </row>
    <row r="144" spans="1:20" ht="15" customHeight="1" x14ac:dyDescent="0.3">
      <c r="A144" t="s">
        <v>2344</v>
      </c>
      <c r="B144" t="s">
        <v>3367</v>
      </c>
      <c r="C144" t="s">
        <v>3350</v>
      </c>
      <c r="F144" t="s">
        <v>2620</v>
      </c>
      <c r="G144" t="s">
        <v>206</v>
      </c>
      <c r="H144" t="s">
        <v>2346</v>
      </c>
      <c r="I144" t="s">
        <v>1437</v>
      </c>
      <c r="J144" t="s">
        <v>2611</v>
      </c>
      <c r="L144" t="s">
        <v>2344</v>
      </c>
      <c r="M144" t="s">
        <v>3367</v>
      </c>
      <c r="N144" t="s">
        <v>2345</v>
      </c>
      <c r="O144" t="s">
        <v>1673</v>
      </c>
      <c r="P144" t="s">
        <v>1740</v>
      </c>
      <c r="Q144" t="s">
        <v>2346</v>
      </c>
      <c r="R144" t="s">
        <v>604</v>
      </c>
      <c r="S144" t="s">
        <v>2347</v>
      </c>
      <c r="T144" t="s">
        <v>1754</v>
      </c>
    </row>
    <row r="145" spans="1:20" ht="15" customHeight="1" x14ac:dyDescent="0.3">
      <c r="A145" t="s">
        <v>2348</v>
      </c>
      <c r="B145" t="s">
        <v>3367</v>
      </c>
      <c r="C145" t="s">
        <v>3351</v>
      </c>
      <c r="F145" t="s">
        <v>2620</v>
      </c>
      <c r="G145" t="s">
        <v>206</v>
      </c>
      <c r="H145" t="s">
        <v>2350</v>
      </c>
      <c r="I145" t="s">
        <v>1437</v>
      </c>
      <c r="J145" t="s">
        <v>2611</v>
      </c>
      <c r="L145" t="s">
        <v>2348</v>
      </c>
      <c r="M145" t="s">
        <v>3367</v>
      </c>
      <c r="N145" t="s">
        <v>2349</v>
      </c>
      <c r="O145" t="s">
        <v>1673</v>
      </c>
      <c r="P145" t="s">
        <v>1740</v>
      </c>
      <c r="Q145" t="s">
        <v>2350</v>
      </c>
      <c r="R145" t="s">
        <v>604</v>
      </c>
      <c r="S145" t="s">
        <v>2351</v>
      </c>
      <c r="T145" t="s">
        <v>1755</v>
      </c>
    </row>
    <row r="146" spans="1:20" ht="15" customHeight="1" x14ac:dyDescent="0.3">
      <c r="A146" t="s">
        <v>2352</v>
      </c>
      <c r="B146" t="s">
        <v>3367</v>
      </c>
      <c r="C146" t="s">
        <v>3352</v>
      </c>
      <c r="F146" t="s">
        <v>2620</v>
      </c>
      <c r="G146" t="s">
        <v>206</v>
      </c>
      <c r="H146" t="s">
        <v>2354</v>
      </c>
      <c r="I146" t="s">
        <v>1437</v>
      </c>
      <c r="J146" t="s">
        <v>2611</v>
      </c>
      <c r="L146" t="s">
        <v>2352</v>
      </c>
      <c r="M146" t="s">
        <v>3367</v>
      </c>
      <c r="N146" t="s">
        <v>2353</v>
      </c>
      <c r="O146" t="s">
        <v>1673</v>
      </c>
      <c r="P146" t="s">
        <v>1740</v>
      </c>
      <c r="Q146" t="s">
        <v>2354</v>
      </c>
      <c r="R146" t="s">
        <v>604</v>
      </c>
      <c r="S146" t="s">
        <v>2355</v>
      </c>
      <c r="T146" t="s">
        <v>1756</v>
      </c>
    </row>
    <row r="147" spans="1:20" ht="15" customHeight="1" x14ac:dyDescent="0.3">
      <c r="A147" t="s">
        <v>2356</v>
      </c>
      <c r="B147" t="s">
        <v>3367</v>
      </c>
      <c r="C147" t="s">
        <v>3353</v>
      </c>
      <c r="F147" t="s">
        <v>2620</v>
      </c>
      <c r="G147" t="s">
        <v>206</v>
      </c>
      <c r="H147" t="s">
        <v>2358</v>
      </c>
      <c r="I147" t="s">
        <v>1437</v>
      </c>
      <c r="J147" t="s">
        <v>2611</v>
      </c>
      <c r="L147" t="s">
        <v>2356</v>
      </c>
      <c r="M147" t="s">
        <v>3367</v>
      </c>
      <c r="N147" t="s">
        <v>2357</v>
      </c>
      <c r="O147" t="s">
        <v>1673</v>
      </c>
      <c r="P147" t="s">
        <v>1740</v>
      </c>
      <c r="Q147" t="s">
        <v>2358</v>
      </c>
      <c r="R147" t="s">
        <v>604</v>
      </c>
      <c r="S147" t="s">
        <v>2359</v>
      </c>
      <c r="T147" t="s">
        <v>1757</v>
      </c>
    </row>
    <row r="148" spans="1:20" ht="15" customHeight="1" x14ac:dyDescent="0.3">
      <c r="A148" t="s">
        <v>2360</v>
      </c>
      <c r="B148" t="s">
        <v>3367</v>
      </c>
      <c r="C148" t="s">
        <v>3354</v>
      </c>
      <c r="F148" t="s">
        <v>2620</v>
      </c>
      <c r="G148" t="s">
        <v>206</v>
      </c>
      <c r="H148" t="s">
        <v>2362</v>
      </c>
      <c r="I148" t="s">
        <v>1437</v>
      </c>
      <c r="J148" t="s">
        <v>2611</v>
      </c>
      <c r="L148" t="s">
        <v>2360</v>
      </c>
      <c r="M148" t="s">
        <v>3367</v>
      </c>
      <c r="N148" t="s">
        <v>2361</v>
      </c>
      <c r="O148" t="s">
        <v>1673</v>
      </c>
      <c r="P148" t="s">
        <v>1740</v>
      </c>
      <c r="Q148" t="s">
        <v>2362</v>
      </c>
      <c r="R148" t="s">
        <v>604</v>
      </c>
      <c r="S148" t="s">
        <v>2363</v>
      </c>
      <c r="T148" t="s">
        <v>1758</v>
      </c>
    </row>
    <row r="149" spans="1:20" ht="15" customHeight="1" x14ac:dyDescent="0.3">
      <c r="A149" t="s">
        <v>2364</v>
      </c>
      <c r="B149" t="s">
        <v>3367</v>
      </c>
      <c r="C149" t="s">
        <v>3355</v>
      </c>
      <c r="F149" t="s">
        <v>2620</v>
      </c>
      <c r="G149" t="s">
        <v>206</v>
      </c>
      <c r="H149" t="s">
        <v>2366</v>
      </c>
      <c r="I149" t="s">
        <v>1437</v>
      </c>
      <c r="J149" t="s">
        <v>2611</v>
      </c>
      <c r="L149" t="s">
        <v>2364</v>
      </c>
      <c r="M149" t="s">
        <v>3367</v>
      </c>
      <c r="N149" t="s">
        <v>2365</v>
      </c>
      <c r="O149" t="s">
        <v>1673</v>
      </c>
      <c r="P149" t="s">
        <v>1740</v>
      </c>
      <c r="Q149" t="s">
        <v>2366</v>
      </c>
      <c r="R149" t="s">
        <v>604</v>
      </c>
      <c r="S149" t="s">
        <v>2367</v>
      </c>
      <c r="T149" t="s">
        <v>1759</v>
      </c>
    </row>
    <row r="150" spans="1:20" ht="15" customHeight="1" x14ac:dyDescent="0.3">
      <c r="A150" t="s">
        <v>2368</v>
      </c>
      <c r="B150" t="s">
        <v>3367</v>
      </c>
      <c r="C150" t="s">
        <v>3356</v>
      </c>
      <c r="F150" t="s">
        <v>2620</v>
      </c>
      <c r="G150" t="s">
        <v>206</v>
      </c>
      <c r="H150" t="s">
        <v>2370</v>
      </c>
      <c r="I150" t="s">
        <v>1437</v>
      </c>
      <c r="J150" t="s">
        <v>2611</v>
      </c>
      <c r="L150" t="s">
        <v>2368</v>
      </c>
      <c r="M150" t="s">
        <v>3367</v>
      </c>
      <c r="N150" t="s">
        <v>2369</v>
      </c>
      <c r="O150" t="s">
        <v>1673</v>
      </c>
      <c r="P150" t="s">
        <v>1740</v>
      </c>
      <c r="Q150" t="s">
        <v>2370</v>
      </c>
      <c r="R150" t="s">
        <v>604</v>
      </c>
      <c r="S150" t="s">
        <v>2371</v>
      </c>
      <c r="T150" t="s">
        <v>1760</v>
      </c>
    </row>
    <row r="151" spans="1:20" ht="15" customHeight="1" x14ac:dyDescent="0.3">
      <c r="A151" t="s">
        <v>2372</v>
      </c>
      <c r="B151" t="s">
        <v>3367</v>
      </c>
      <c r="C151" t="s">
        <v>3357</v>
      </c>
      <c r="F151" t="s">
        <v>2620</v>
      </c>
      <c r="G151" t="s">
        <v>206</v>
      </c>
      <c r="H151" t="s">
        <v>2374</v>
      </c>
      <c r="I151" t="s">
        <v>1437</v>
      </c>
      <c r="J151" t="s">
        <v>2611</v>
      </c>
      <c r="L151" t="s">
        <v>2372</v>
      </c>
      <c r="M151" t="s">
        <v>3367</v>
      </c>
      <c r="N151" t="s">
        <v>2373</v>
      </c>
      <c r="O151" t="s">
        <v>1673</v>
      </c>
      <c r="P151" t="s">
        <v>1740</v>
      </c>
      <c r="Q151" t="s">
        <v>2374</v>
      </c>
      <c r="R151" t="s">
        <v>604</v>
      </c>
      <c r="S151" t="s">
        <v>2375</v>
      </c>
      <c r="T151" t="s">
        <v>1761</v>
      </c>
    </row>
    <row r="152" spans="1:20" ht="15" customHeight="1" x14ac:dyDescent="0.3">
      <c r="A152" t="s">
        <v>2376</v>
      </c>
      <c r="B152" t="s">
        <v>3367</v>
      </c>
      <c r="C152" t="s">
        <v>3358</v>
      </c>
      <c r="F152" t="s">
        <v>2620</v>
      </c>
      <c r="G152" t="s">
        <v>206</v>
      </c>
      <c r="H152" t="s">
        <v>2378</v>
      </c>
      <c r="I152" t="s">
        <v>1437</v>
      </c>
      <c r="J152" t="s">
        <v>2611</v>
      </c>
      <c r="L152" t="s">
        <v>2376</v>
      </c>
      <c r="M152" t="s">
        <v>3367</v>
      </c>
      <c r="N152" t="s">
        <v>2377</v>
      </c>
      <c r="O152" t="s">
        <v>1673</v>
      </c>
      <c r="P152" t="s">
        <v>1740</v>
      </c>
      <c r="Q152" t="s">
        <v>2378</v>
      </c>
      <c r="R152" t="s">
        <v>604</v>
      </c>
      <c r="S152" t="s">
        <v>2379</v>
      </c>
      <c r="T152" t="s">
        <v>1762</v>
      </c>
    </row>
    <row r="153" spans="1:20" ht="15" customHeight="1" x14ac:dyDescent="0.3">
      <c r="A153" t="s">
        <v>2380</v>
      </c>
      <c r="B153" t="s">
        <v>3367</v>
      </c>
      <c r="C153" t="s">
        <v>3359</v>
      </c>
      <c r="F153" t="s">
        <v>2620</v>
      </c>
      <c r="G153" t="s">
        <v>206</v>
      </c>
      <c r="H153" t="s">
        <v>2382</v>
      </c>
      <c r="I153" t="s">
        <v>1437</v>
      </c>
      <c r="J153" t="s">
        <v>2611</v>
      </c>
      <c r="L153" t="s">
        <v>2380</v>
      </c>
      <c r="M153" t="s">
        <v>3367</v>
      </c>
      <c r="N153" t="s">
        <v>2381</v>
      </c>
      <c r="O153" t="s">
        <v>1673</v>
      </c>
      <c r="P153" t="s">
        <v>1740</v>
      </c>
      <c r="Q153" t="s">
        <v>2382</v>
      </c>
      <c r="R153" t="s">
        <v>604</v>
      </c>
      <c r="S153" t="s">
        <v>2383</v>
      </c>
      <c r="T153" t="s">
        <v>1763</v>
      </c>
    </row>
    <row r="154" spans="1:20" ht="15" customHeight="1" x14ac:dyDescent="0.3">
      <c r="A154" t="s">
        <v>2384</v>
      </c>
      <c r="B154" t="s">
        <v>3367</v>
      </c>
      <c r="C154" t="s">
        <v>3360</v>
      </c>
      <c r="F154" t="s">
        <v>2620</v>
      </c>
      <c r="G154" t="s">
        <v>206</v>
      </c>
      <c r="H154" t="s">
        <v>2386</v>
      </c>
      <c r="I154" t="s">
        <v>1437</v>
      </c>
      <c r="J154" t="s">
        <v>2611</v>
      </c>
      <c r="L154" t="s">
        <v>2384</v>
      </c>
      <c r="M154" t="s">
        <v>3367</v>
      </c>
      <c r="N154" t="s">
        <v>2385</v>
      </c>
      <c r="O154" t="s">
        <v>1673</v>
      </c>
      <c r="P154" t="s">
        <v>1740</v>
      </c>
      <c r="Q154" t="s">
        <v>2386</v>
      </c>
      <c r="R154" t="s">
        <v>604</v>
      </c>
      <c r="S154" t="s">
        <v>2387</v>
      </c>
      <c r="T154" t="s">
        <v>1764</v>
      </c>
    </row>
    <row r="155" spans="1:20" ht="15" customHeight="1" x14ac:dyDescent="0.3">
      <c r="A155" t="s">
        <v>2388</v>
      </c>
      <c r="B155" t="s">
        <v>3367</v>
      </c>
      <c r="C155" t="s">
        <v>3361</v>
      </c>
      <c r="F155" t="s">
        <v>2621</v>
      </c>
      <c r="G155" t="s">
        <v>206</v>
      </c>
      <c r="H155" t="s">
        <v>2390</v>
      </c>
      <c r="I155" t="s">
        <v>1437</v>
      </c>
      <c r="J155" t="s">
        <v>2613</v>
      </c>
      <c r="L155" t="s">
        <v>2388</v>
      </c>
      <c r="M155" t="s">
        <v>3367</v>
      </c>
      <c r="N155" t="s">
        <v>2389</v>
      </c>
      <c r="O155" t="s">
        <v>1673</v>
      </c>
      <c r="P155" t="s">
        <v>1740</v>
      </c>
      <c r="Q155" t="s">
        <v>2390</v>
      </c>
      <c r="R155" t="s">
        <v>604</v>
      </c>
      <c r="S155" t="s">
        <v>2391</v>
      </c>
      <c r="T155" t="s">
        <v>1765</v>
      </c>
    </row>
    <row r="156" spans="1:20" ht="15" customHeight="1" x14ac:dyDescent="0.3">
      <c r="A156" t="s">
        <v>2392</v>
      </c>
      <c r="B156" t="s">
        <v>3367</v>
      </c>
      <c r="C156" t="s">
        <v>3362</v>
      </c>
      <c r="F156" t="s">
        <v>2621</v>
      </c>
      <c r="G156" t="s">
        <v>206</v>
      </c>
      <c r="H156" t="s">
        <v>2394</v>
      </c>
      <c r="I156" t="s">
        <v>1437</v>
      </c>
      <c r="J156" t="s">
        <v>2613</v>
      </c>
      <c r="L156" t="s">
        <v>2392</v>
      </c>
      <c r="M156" t="s">
        <v>3367</v>
      </c>
      <c r="N156" t="s">
        <v>2393</v>
      </c>
      <c r="O156" t="s">
        <v>1673</v>
      </c>
      <c r="P156" t="s">
        <v>1740</v>
      </c>
      <c r="Q156" t="s">
        <v>2394</v>
      </c>
      <c r="R156" t="s">
        <v>604</v>
      </c>
      <c r="S156" t="s">
        <v>2395</v>
      </c>
      <c r="T156" t="s">
        <v>1766</v>
      </c>
    </row>
    <row r="157" spans="1:20" ht="15" customHeight="1" x14ac:dyDescent="0.3">
      <c r="A157" t="s">
        <v>2396</v>
      </c>
      <c r="B157" t="s">
        <v>3367</v>
      </c>
      <c r="C157" t="s">
        <v>3363</v>
      </c>
      <c r="F157" t="s">
        <v>2621</v>
      </c>
      <c r="G157" t="s">
        <v>206</v>
      </c>
      <c r="H157" t="s">
        <v>2398</v>
      </c>
      <c r="I157" t="s">
        <v>1437</v>
      </c>
      <c r="J157" t="s">
        <v>2613</v>
      </c>
      <c r="L157" t="s">
        <v>2396</v>
      </c>
      <c r="M157" t="s">
        <v>3367</v>
      </c>
      <c r="N157" t="s">
        <v>2397</v>
      </c>
      <c r="O157" t="s">
        <v>1673</v>
      </c>
      <c r="P157" t="s">
        <v>1740</v>
      </c>
      <c r="Q157" t="s">
        <v>2398</v>
      </c>
      <c r="R157" t="s">
        <v>604</v>
      </c>
      <c r="S157" t="s">
        <v>2399</v>
      </c>
      <c r="T157" t="s">
        <v>1767</v>
      </c>
    </row>
    <row r="158" spans="1:20" ht="15" customHeight="1" x14ac:dyDescent="0.3">
      <c r="A158" t="s">
        <v>2400</v>
      </c>
      <c r="B158" t="s">
        <v>3367</v>
      </c>
      <c r="C158" t="s">
        <v>3364</v>
      </c>
      <c r="F158" t="s">
        <v>2621</v>
      </c>
      <c r="G158" t="s">
        <v>206</v>
      </c>
      <c r="H158" t="s">
        <v>2402</v>
      </c>
      <c r="I158" t="s">
        <v>1437</v>
      </c>
      <c r="J158" t="s">
        <v>2613</v>
      </c>
      <c r="L158" t="s">
        <v>2400</v>
      </c>
      <c r="M158" t="s">
        <v>3367</v>
      </c>
      <c r="N158" t="s">
        <v>2401</v>
      </c>
      <c r="O158" t="s">
        <v>1673</v>
      </c>
      <c r="P158" t="s">
        <v>1740</v>
      </c>
      <c r="Q158" t="s">
        <v>2402</v>
      </c>
      <c r="R158" t="s">
        <v>604</v>
      </c>
      <c r="S158" t="s">
        <v>2403</v>
      </c>
      <c r="T158" t="s">
        <v>1768</v>
      </c>
    </row>
    <row r="159" spans="1:20" ht="15" customHeight="1" x14ac:dyDescent="0.3">
      <c r="A159" t="s">
        <v>2404</v>
      </c>
      <c r="B159" t="s">
        <v>3367</v>
      </c>
      <c r="C159" t="s">
        <v>3365</v>
      </c>
      <c r="F159" t="s">
        <v>2621</v>
      </c>
      <c r="G159" t="s">
        <v>206</v>
      </c>
      <c r="H159" t="s">
        <v>2406</v>
      </c>
      <c r="I159" t="s">
        <v>1437</v>
      </c>
      <c r="J159" t="s">
        <v>2613</v>
      </c>
      <c r="L159" t="s">
        <v>2404</v>
      </c>
      <c r="M159" t="s">
        <v>3367</v>
      </c>
      <c r="N159" t="s">
        <v>2405</v>
      </c>
      <c r="O159" t="s">
        <v>1673</v>
      </c>
      <c r="P159" t="s">
        <v>1740</v>
      </c>
      <c r="Q159" t="s">
        <v>2406</v>
      </c>
      <c r="R159" t="s">
        <v>604</v>
      </c>
      <c r="S159" t="s">
        <v>2407</v>
      </c>
      <c r="T159" t="s">
        <v>1769</v>
      </c>
    </row>
    <row r="160" spans="1:20" ht="15" customHeight="1" x14ac:dyDescent="0.3">
      <c r="A160" t="s">
        <v>2408</v>
      </c>
      <c r="B160" t="s">
        <v>3367</v>
      </c>
      <c r="C160" t="s">
        <v>3366</v>
      </c>
      <c r="F160" t="s">
        <v>2621</v>
      </c>
      <c r="G160" t="s">
        <v>206</v>
      </c>
      <c r="H160" t="s">
        <v>2410</v>
      </c>
      <c r="I160" t="s">
        <v>1437</v>
      </c>
      <c r="J160" t="s">
        <v>2613</v>
      </c>
      <c r="L160" t="s">
        <v>2408</v>
      </c>
      <c r="M160" t="s">
        <v>3367</v>
      </c>
      <c r="N160" t="s">
        <v>2409</v>
      </c>
      <c r="O160" t="s">
        <v>1673</v>
      </c>
      <c r="P160" t="s">
        <v>1740</v>
      </c>
      <c r="Q160" t="s">
        <v>2410</v>
      </c>
      <c r="R160" t="s">
        <v>604</v>
      </c>
      <c r="S160" t="s">
        <v>2411</v>
      </c>
      <c r="T160" t="s">
        <v>1770</v>
      </c>
    </row>
    <row r="161" spans="1:20" ht="15" customHeight="1" x14ac:dyDescent="0.3">
      <c r="A161" t="s">
        <v>2412</v>
      </c>
      <c r="B161" t="s">
        <v>3367</v>
      </c>
      <c r="C161" t="s">
        <v>2622</v>
      </c>
      <c r="D161" t="s">
        <v>1501</v>
      </c>
      <c r="E161" t="s">
        <v>1502</v>
      </c>
      <c r="F161" t="s">
        <v>2623</v>
      </c>
      <c r="G161" t="s">
        <v>1438</v>
      </c>
      <c r="H161" t="s">
        <v>2414</v>
      </c>
      <c r="I161" t="s">
        <v>1437</v>
      </c>
      <c r="J161" t="s">
        <v>2611</v>
      </c>
      <c r="L161" t="s">
        <v>2412</v>
      </c>
      <c r="M161" t="s">
        <v>3367</v>
      </c>
      <c r="N161" t="s">
        <v>2413</v>
      </c>
      <c r="O161" t="s">
        <v>1673</v>
      </c>
      <c r="P161" t="s">
        <v>1771</v>
      </c>
      <c r="Q161" t="s">
        <v>2414</v>
      </c>
      <c r="R161" t="s">
        <v>604</v>
      </c>
      <c r="S161" t="s">
        <v>2415</v>
      </c>
      <c r="T161" t="s">
        <v>1675</v>
      </c>
    </row>
    <row r="162" spans="1:20" ht="15" customHeight="1" x14ac:dyDescent="0.3">
      <c r="A162" t="s">
        <v>2416</v>
      </c>
      <c r="B162" t="s">
        <v>3367</v>
      </c>
      <c r="C162" t="s">
        <v>2624</v>
      </c>
      <c r="D162" t="s">
        <v>1501</v>
      </c>
      <c r="E162" t="s">
        <v>1502</v>
      </c>
      <c r="F162" t="s">
        <v>2623</v>
      </c>
      <c r="G162" t="s">
        <v>1438</v>
      </c>
      <c r="H162" t="s">
        <v>2418</v>
      </c>
      <c r="I162" t="s">
        <v>1437</v>
      </c>
      <c r="J162" t="s">
        <v>2611</v>
      </c>
      <c r="L162" t="s">
        <v>2416</v>
      </c>
      <c r="M162" t="s">
        <v>3367</v>
      </c>
      <c r="N162" t="s">
        <v>2417</v>
      </c>
      <c r="O162" t="s">
        <v>1673</v>
      </c>
      <c r="P162" t="s">
        <v>1771</v>
      </c>
      <c r="Q162" t="s">
        <v>2418</v>
      </c>
      <c r="R162" t="s">
        <v>604</v>
      </c>
      <c r="S162" t="s">
        <v>2419</v>
      </c>
      <c r="T162" t="s">
        <v>1676</v>
      </c>
    </row>
    <row r="163" spans="1:20" ht="15" customHeight="1" x14ac:dyDescent="0.3">
      <c r="A163" t="s">
        <v>2420</v>
      </c>
      <c r="B163" t="s">
        <v>3367</v>
      </c>
      <c r="C163" t="s">
        <v>2625</v>
      </c>
      <c r="D163" t="s">
        <v>1501</v>
      </c>
      <c r="E163" t="s">
        <v>1502</v>
      </c>
      <c r="F163" t="s">
        <v>2623</v>
      </c>
      <c r="G163" t="s">
        <v>1438</v>
      </c>
      <c r="H163" t="s">
        <v>2422</v>
      </c>
      <c r="I163" t="s">
        <v>1437</v>
      </c>
      <c r="J163" t="s">
        <v>2611</v>
      </c>
      <c r="L163" t="s">
        <v>2420</v>
      </c>
      <c r="M163" t="s">
        <v>3367</v>
      </c>
      <c r="N163" t="s">
        <v>2421</v>
      </c>
      <c r="O163" t="s">
        <v>1673</v>
      </c>
      <c r="P163" t="s">
        <v>1771</v>
      </c>
      <c r="Q163" t="s">
        <v>2422</v>
      </c>
      <c r="R163" t="s">
        <v>604</v>
      </c>
      <c r="S163" t="s">
        <v>2423</v>
      </c>
      <c r="T163" t="s">
        <v>1677</v>
      </c>
    </row>
    <row r="164" spans="1:20" ht="15" customHeight="1" x14ac:dyDescent="0.3">
      <c r="A164" t="s">
        <v>2424</v>
      </c>
      <c r="B164" t="s">
        <v>3367</v>
      </c>
      <c r="C164" t="s">
        <v>2626</v>
      </c>
      <c r="D164" t="s">
        <v>1501</v>
      </c>
      <c r="E164" t="s">
        <v>1502</v>
      </c>
      <c r="F164" t="s">
        <v>2623</v>
      </c>
      <c r="G164" t="s">
        <v>1438</v>
      </c>
      <c r="H164" t="s">
        <v>2426</v>
      </c>
      <c r="I164" t="s">
        <v>1437</v>
      </c>
      <c r="J164" t="s">
        <v>2611</v>
      </c>
      <c r="L164" t="s">
        <v>2424</v>
      </c>
      <c r="M164" t="s">
        <v>3367</v>
      </c>
      <c r="N164" t="s">
        <v>2425</v>
      </c>
      <c r="O164" t="s">
        <v>1673</v>
      </c>
      <c r="P164" t="s">
        <v>1771</v>
      </c>
      <c r="Q164" t="s">
        <v>2426</v>
      </c>
      <c r="R164" t="s">
        <v>604</v>
      </c>
      <c r="S164" t="s">
        <v>2427</v>
      </c>
      <c r="T164" t="s">
        <v>1678</v>
      </c>
    </row>
    <row r="165" spans="1:20" ht="15" customHeight="1" x14ac:dyDescent="0.3">
      <c r="A165" t="s">
        <v>2428</v>
      </c>
      <c r="B165" t="s">
        <v>3367</v>
      </c>
      <c r="C165" t="s">
        <v>2627</v>
      </c>
      <c r="D165" t="s">
        <v>1501</v>
      </c>
      <c r="E165" t="s">
        <v>1502</v>
      </c>
      <c r="F165" t="s">
        <v>2623</v>
      </c>
      <c r="G165" t="s">
        <v>1438</v>
      </c>
      <c r="H165" t="s">
        <v>2430</v>
      </c>
      <c r="I165" t="s">
        <v>1437</v>
      </c>
      <c r="J165" t="s">
        <v>2611</v>
      </c>
      <c r="L165" t="s">
        <v>2428</v>
      </c>
      <c r="M165" t="s">
        <v>3367</v>
      </c>
      <c r="N165" t="s">
        <v>2429</v>
      </c>
      <c r="O165" t="s">
        <v>1673</v>
      </c>
      <c r="P165" t="s">
        <v>1771</v>
      </c>
      <c r="Q165" t="s">
        <v>2430</v>
      </c>
      <c r="R165" t="s">
        <v>604</v>
      </c>
      <c r="S165" t="s">
        <v>2431</v>
      </c>
      <c r="T165" t="s">
        <v>1679</v>
      </c>
    </row>
    <row r="166" spans="1:20" ht="15" customHeight="1" x14ac:dyDescent="0.3">
      <c r="A166" t="s">
        <v>2432</v>
      </c>
      <c r="B166" t="s">
        <v>3367</v>
      </c>
      <c r="C166" t="s">
        <v>2628</v>
      </c>
      <c r="D166" t="s">
        <v>1501</v>
      </c>
      <c r="E166" t="s">
        <v>1502</v>
      </c>
      <c r="F166" t="s">
        <v>2623</v>
      </c>
      <c r="G166" t="s">
        <v>1438</v>
      </c>
      <c r="H166" t="s">
        <v>2434</v>
      </c>
      <c r="I166" t="s">
        <v>1437</v>
      </c>
      <c r="J166" t="s">
        <v>2611</v>
      </c>
      <c r="L166" t="s">
        <v>2432</v>
      </c>
      <c r="M166" t="s">
        <v>3367</v>
      </c>
      <c r="N166" t="s">
        <v>2433</v>
      </c>
      <c r="O166" t="s">
        <v>1673</v>
      </c>
      <c r="P166" t="s">
        <v>1771</v>
      </c>
      <c r="Q166" t="s">
        <v>2434</v>
      </c>
      <c r="R166" t="s">
        <v>604</v>
      </c>
      <c r="S166" t="s">
        <v>2435</v>
      </c>
      <c r="T166" t="s">
        <v>1680</v>
      </c>
    </row>
    <row r="167" spans="1:20" ht="15" customHeight="1" x14ac:dyDescent="0.3">
      <c r="A167" t="s">
        <v>2436</v>
      </c>
      <c r="B167" t="s">
        <v>3367</v>
      </c>
      <c r="C167" t="s">
        <v>2629</v>
      </c>
      <c r="D167" t="s">
        <v>1501</v>
      </c>
      <c r="E167" t="s">
        <v>1502</v>
      </c>
      <c r="F167" t="s">
        <v>2623</v>
      </c>
      <c r="G167" t="s">
        <v>1438</v>
      </c>
      <c r="H167" t="s">
        <v>2438</v>
      </c>
      <c r="I167" t="s">
        <v>1437</v>
      </c>
      <c r="J167" t="s">
        <v>2611</v>
      </c>
      <c r="L167" t="s">
        <v>2436</v>
      </c>
      <c r="M167" t="s">
        <v>3367</v>
      </c>
      <c r="N167" t="s">
        <v>2437</v>
      </c>
      <c r="O167" t="s">
        <v>1673</v>
      </c>
      <c r="P167" t="s">
        <v>1771</v>
      </c>
      <c r="Q167" t="s">
        <v>2438</v>
      </c>
      <c r="R167" t="s">
        <v>604</v>
      </c>
      <c r="S167" t="s">
        <v>2439</v>
      </c>
      <c r="T167" t="s">
        <v>1681</v>
      </c>
    </row>
    <row r="168" spans="1:20" ht="15" customHeight="1" x14ac:dyDescent="0.3">
      <c r="A168" t="s">
        <v>2440</v>
      </c>
      <c r="B168" t="s">
        <v>3367</v>
      </c>
      <c r="C168" t="s">
        <v>2630</v>
      </c>
      <c r="D168" t="s">
        <v>1501</v>
      </c>
      <c r="E168" t="s">
        <v>1502</v>
      </c>
      <c r="F168" t="s">
        <v>2623</v>
      </c>
      <c r="G168" t="s">
        <v>1438</v>
      </c>
      <c r="H168" t="s">
        <v>2442</v>
      </c>
      <c r="I168" t="s">
        <v>1437</v>
      </c>
      <c r="J168" t="s">
        <v>2611</v>
      </c>
      <c r="L168" t="s">
        <v>2440</v>
      </c>
      <c r="M168" t="s">
        <v>3367</v>
      </c>
      <c r="N168" t="s">
        <v>2441</v>
      </c>
      <c r="O168" t="s">
        <v>1673</v>
      </c>
      <c r="P168" t="s">
        <v>1771</v>
      </c>
      <c r="Q168" t="s">
        <v>2442</v>
      </c>
      <c r="R168" t="s">
        <v>604</v>
      </c>
      <c r="S168" t="s">
        <v>2443</v>
      </c>
      <c r="T168" t="s">
        <v>1683</v>
      </c>
    </row>
    <row r="169" spans="1:20" ht="15" customHeight="1" x14ac:dyDescent="0.3">
      <c r="A169" t="s">
        <v>2444</v>
      </c>
      <c r="B169" t="s">
        <v>3367</v>
      </c>
      <c r="C169" t="s">
        <v>2631</v>
      </c>
      <c r="D169" t="s">
        <v>1501</v>
      </c>
      <c r="E169" t="s">
        <v>1502</v>
      </c>
      <c r="F169" t="s">
        <v>2623</v>
      </c>
      <c r="G169" t="s">
        <v>1438</v>
      </c>
      <c r="H169" t="s">
        <v>2446</v>
      </c>
      <c r="I169" t="s">
        <v>1437</v>
      </c>
      <c r="J169" t="s">
        <v>2611</v>
      </c>
      <c r="L169" t="s">
        <v>2444</v>
      </c>
      <c r="M169" t="s">
        <v>3367</v>
      </c>
      <c r="N169" t="s">
        <v>2445</v>
      </c>
      <c r="O169" t="s">
        <v>1673</v>
      </c>
      <c r="P169" t="s">
        <v>1771</v>
      </c>
      <c r="Q169" t="s">
        <v>2446</v>
      </c>
      <c r="R169" t="s">
        <v>604</v>
      </c>
      <c r="S169" t="s">
        <v>2447</v>
      </c>
      <c r="T169" t="s">
        <v>1684</v>
      </c>
    </row>
    <row r="170" spans="1:20" ht="15" customHeight="1" x14ac:dyDescent="0.3">
      <c r="A170" t="s">
        <v>2448</v>
      </c>
      <c r="B170" t="s">
        <v>3367</v>
      </c>
      <c r="C170" t="s">
        <v>2632</v>
      </c>
      <c r="D170" t="s">
        <v>1501</v>
      </c>
      <c r="E170" t="s">
        <v>1502</v>
      </c>
      <c r="F170" t="s">
        <v>2623</v>
      </c>
      <c r="G170" t="s">
        <v>1438</v>
      </c>
      <c r="H170" t="s">
        <v>2450</v>
      </c>
      <c r="I170" t="s">
        <v>1437</v>
      </c>
      <c r="J170" t="s">
        <v>2611</v>
      </c>
      <c r="L170" t="s">
        <v>2448</v>
      </c>
      <c r="M170" t="s">
        <v>3367</v>
      </c>
      <c r="N170" t="s">
        <v>2449</v>
      </c>
      <c r="O170" t="s">
        <v>1673</v>
      </c>
      <c r="P170" t="s">
        <v>1771</v>
      </c>
      <c r="Q170" t="s">
        <v>2450</v>
      </c>
      <c r="R170" t="s">
        <v>604</v>
      </c>
      <c r="S170" t="s">
        <v>2451</v>
      </c>
      <c r="T170" t="s">
        <v>1685</v>
      </c>
    </row>
    <row r="171" spans="1:20" ht="15" customHeight="1" x14ac:dyDescent="0.3">
      <c r="A171" t="s">
        <v>2452</v>
      </c>
      <c r="B171" t="s">
        <v>3367</v>
      </c>
      <c r="C171" t="s">
        <v>2633</v>
      </c>
      <c r="D171" t="s">
        <v>1501</v>
      </c>
      <c r="E171" t="s">
        <v>1502</v>
      </c>
      <c r="F171" t="s">
        <v>2623</v>
      </c>
      <c r="G171" t="s">
        <v>1438</v>
      </c>
      <c r="H171" t="s">
        <v>2454</v>
      </c>
      <c r="I171" t="s">
        <v>1437</v>
      </c>
      <c r="J171" t="s">
        <v>2611</v>
      </c>
      <c r="L171" t="s">
        <v>2452</v>
      </c>
      <c r="M171" t="s">
        <v>3367</v>
      </c>
      <c r="N171" t="s">
        <v>2453</v>
      </c>
      <c r="O171" t="s">
        <v>1673</v>
      </c>
      <c r="P171" t="s">
        <v>1771</v>
      </c>
      <c r="Q171" t="s">
        <v>2454</v>
      </c>
      <c r="R171" t="s">
        <v>604</v>
      </c>
      <c r="S171" t="s">
        <v>2455</v>
      </c>
      <c r="T171" t="s">
        <v>1686</v>
      </c>
    </row>
    <row r="172" spans="1:20" ht="15" customHeight="1" x14ac:dyDescent="0.3">
      <c r="A172" t="s">
        <v>2456</v>
      </c>
      <c r="B172" t="s">
        <v>3367</v>
      </c>
      <c r="C172" t="s">
        <v>2634</v>
      </c>
      <c r="D172" t="s">
        <v>1501</v>
      </c>
      <c r="E172" t="s">
        <v>1502</v>
      </c>
      <c r="F172" t="s">
        <v>2623</v>
      </c>
      <c r="G172" t="s">
        <v>1438</v>
      </c>
      <c r="H172" t="s">
        <v>2458</v>
      </c>
      <c r="I172" t="s">
        <v>1437</v>
      </c>
      <c r="J172" t="s">
        <v>2611</v>
      </c>
      <c r="L172" t="s">
        <v>2456</v>
      </c>
      <c r="M172" t="s">
        <v>3367</v>
      </c>
      <c r="N172" t="s">
        <v>2457</v>
      </c>
      <c r="O172" t="s">
        <v>1673</v>
      </c>
      <c r="P172" t="s">
        <v>1771</v>
      </c>
      <c r="Q172" t="s">
        <v>2458</v>
      </c>
      <c r="R172" t="s">
        <v>604</v>
      </c>
      <c r="S172" t="s">
        <v>2459</v>
      </c>
      <c r="T172" t="s">
        <v>1687</v>
      </c>
    </row>
    <row r="173" spans="1:20" ht="15" customHeight="1" x14ac:dyDescent="0.3">
      <c r="A173" t="s">
        <v>2460</v>
      </c>
      <c r="B173" t="s">
        <v>3367</v>
      </c>
      <c r="C173" t="s">
        <v>2635</v>
      </c>
      <c r="D173" t="s">
        <v>1501</v>
      </c>
      <c r="E173" t="s">
        <v>1502</v>
      </c>
      <c r="F173" t="s">
        <v>2623</v>
      </c>
      <c r="G173" t="s">
        <v>1438</v>
      </c>
      <c r="H173" t="s">
        <v>2462</v>
      </c>
      <c r="I173" t="s">
        <v>1437</v>
      </c>
      <c r="J173" t="s">
        <v>2611</v>
      </c>
      <c r="L173" t="s">
        <v>2460</v>
      </c>
      <c r="M173" t="s">
        <v>3367</v>
      </c>
      <c r="N173" t="s">
        <v>2461</v>
      </c>
      <c r="O173" t="s">
        <v>1673</v>
      </c>
      <c r="P173" t="s">
        <v>1771</v>
      </c>
      <c r="Q173" t="s">
        <v>2462</v>
      </c>
      <c r="R173" t="s">
        <v>604</v>
      </c>
      <c r="S173" t="s">
        <v>2463</v>
      </c>
      <c r="T173" t="s">
        <v>1688</v>
      </c>
    </row>
    <row r="174" spans="1:20" ht="15" customHeight="1" x14ac:dyDescent="0.3">
      <c r="A174" t="s">
        <v>2464</v>
      </c>
      <c r="B174" t="s">
        <v>3367</v>
      </c>
      <c r="C174" t="s">
        <v>2636</v>
      </c>
      <c r="D174" t="s">
        <v>1501</v>
      </c>
      <c r="E174" t="s">
        <v>1502</v>
      </c>
      <c r="F174" t="s">
        <v>2623</v>
      </c>
      <c r="G174" t="s">
        <v>1438</v>
      </c>
      <c r="H174" t="s">
        <v>2466</v>
      </c>
      <c r="I174" t="s">
        <v>1437</v>
      </c>
      <c r="J174" t="s">
        <v>2611</v>
      </c>
      <c r="L174" t="s">
        <v>2464</v>
      </c>
      <c r="M174" t="s">
        <v>3367</v>
      </c>
      <c r="N174" t="s">
        <v>2465</v>
      </c>
      <c r="O174" t="s">
        <v>1673</v>
      </c>
      <c r="P174" t="s">
        <v>1771</v>
      </c>
      <c r="Q174" t="s">
        <v>2466</v>
      </c>
      <c r="R174" t="s">
        <v>604</v>
      </c>
      <c r="S174" t="s">
        <v>2467</v>
      </c>
      <c r="T174" t="s">
        <v>1689</v>
      </c>
    </row>
    <row r="175" spans="1:20" ht="15" customHeight="1" x14ac:dyDescent="0.3">
      <c r="A175" t="s">
        <v>2468</v>
      </c>
      <c r="B175" t="s">
        <v>3367</v>
      </c>
      <c r="C175" t="s">
        <v>2637</v>
      </c>
      <c r="D175" t="s">
        <v>1501</v>
      </c>
      <c r="E175" t="s">
        <v>1502</v>
      </c>
      <c r="F175" t="s">
        <v>2623</v>
      </c>
      <c r="G175" t="s">
        <v>1438</v>
      </c>
      <c r="H175" t="s">
        <v>2470</v>
      </c>
      <c r="I175" t="s">
        <v>1437</v>
      </c>
      <c r="J175" t="s">
        <v>2611</v>
      </c>
      <c r="L175" t="s">
        <v>2468</v>
      </c>
      <c r="M175" t="s">
        <v>3367</v>
      </c>
      <c r="N175" t="s">
        <v>2469</v>
      </c>
      <c r="O175" t="s">
        <v>1673</v>
      </c>
      <c r="P175" t="s">
        <v>1771</v>
      </c>
      <c r="Q175" t="s">
        <v>2470</v>
      </c>
      <c r="R175" t="s">
        <v>604</v>
      </c>
      <c r="S175" t="s">
        <v>2471</v>
      </c>
      <c r="T175" t="s">
        <v>1690</v>
      </c>
    </row>
    <row r="176" spans="1:20" ht="15" customHeight="1" x14ac:dyDescent="0.3">
      <c r="A176" t="s">
        <v>2472</v>
      </c>
      <c r="B176" t="s">
        <v>3367</v>
      </c>
      <c r="C176" t="s">
        <v>2638</v>
      </c>
      <c r="D176" t="s">
        <v>1501</v>
      </c>
      <c r="E176" t="s">
        <v>1502</v>
      </c>
      <c r="F176" t="s">
        <v>2623</v>
      </c>
      <c r="G176" t="s">
        <v>1438</v>
      </c>
      <c r="H176" t="s">
        <v>2474</v>
      </c>
      <c r="I176" t="s">
        <v>1437</v>
      </c>
      <c r="J176" t="s">
        <v>2611</v>
      </c>
      <c r="L176" t="s">
        <v>2472</v>
      </c>
      <c r="M176" t="s">
        <v>3367</v>
      </c>
      <c r="N176" t="s">
        <v>2473</v>
      </c>
      <c r="O176" t="s">
        <v>1673</v>
      </c>
      <c r="P176" t="s">
        <v>1771</v>
      </c>
      <c r="Q176" t="s">
        <v>2474</v>
      </c>
      <c r="R176" t="s">
        <v>604</v>
      </c>
      <c r="S176" t="s">
        <v>2475</v>
      </c>
      <c r="T176" t="s">
        <v>1691</v>
      </c>
    </row>
    <row r="177" spans="1:20" ht="15" customHeight="1" x14ac:dyDescent="0.3">
      <c r="A177" t="s">
        <v>2476</v>
      </c>
      <c r="B177" t="s">
        <v>3367</v>
      </c>
      <c r="C177" t="s">
        <v>2639</v>
      </c>
      <c r="D177" t="s">
        <v>1501</v>
      </c>
      <c r="E177" t="s">
        <v>1502</v>
      </c>
      <c r="F177" t="s">
        <v>2623</v>
      </c>
      <c r="G177" t="s">
        <v>1438</v>
      </c>
      <c r="H177" t="s">
        <v>2478</v>
      </c>
      <c r="I177" t="s">
        <v>1437</v>
      </c>
      <c r="J177" t="s">
        <v>2611</v>
      </c>
      <c r="L177" t="s">
        <v>2476</v>
      </c>
      <c r="M177" t="s">
        <v>3367</v>
      </c>
      <c r="N177" t="s">
        <v>2477</v>
      </c>
      <c r="O177" t="s">
        <v>1673</v>
      </c>
      <c r="P177" t="s">
        <v>1771</v>
      </c>
      <c r="Q177" t="s">
        <v>2478</v>
      </c>
      <c r="R177" t="s">
        <v>604</v>
      </c>
      <c r="S177" t="s">
        <v>2479</v>
      </c>
      <c r="T177" t="s">
        <v>1692</v>
      </c>
    </row>
    <row r="178" spans="1:20" ht="15" customHeight="1" x14ac:dyDescent="0.3">
      <c r="A178" t="s">
        <v>2480</v>
      </c>
      <c r="B178" t="s">
        <v>3367</v>
      </c>
      <c r="C178" t="s">
        <v>2640</v>
      </c>
      <c r="D178" t="s">
        <v>1501</v>
      </c>
      <c r="E178" t="s">
        <v>1502</v>
      </c>
      <c r="F178" t="s">
        <v>2623</v>
      </c>
      <c r="G178" t="s">
        <v>1438</v>
      </c>
      <c r="H178" t="s">
        <v>2482</v>
      </c>
      <c r="I178" t="s">
        <v>1437</v>
      </c>
      <c r="J178" t="s">
        <v>2611</v>
      </c>
      <c r="L178" t="s">
        <v>2480</v>
      </c>
      <c r="M178" t="s">
        <v>3367</v>
      </c>
      <c r="N178" t="s">
        <v>2481</v>
      </c>
      <c r="O178" t="s">
        <v>1673</v>
      </c>
      <c r="P178" t="s">
        <v>1771</v>
      </c>
      <c r="Q178" t="s">
        <v>2482</v>
      </c>
      <c r="R178" t="s">
        <v>604</v>
      </c>
      <c r="S178" t="s">
        <v>2483</v>
      </c>
      <c r="T178" t="s">
        <v>1693</v>
      </c>
    </row>
    <row r="179" spans="1:20" ht="15" customHeight="1" x14ac:dyDescent="0.3">
      <c r="A179" t="s">
        <v>2484</v>
      </c>
      <c r="B179" t="s">
        <v>3367</v>
      </c>
      <c r="C179" t="s">
        <v>2641</v>
      </c>
      <c r="D179" t="s">
        <v>1501</v>
      </c>
      <c r="E179" t="s">
        <v>1502</v>
      </c>
      <c r="F179" t="s">
        <v>2623</v>
      </c>
      <c r="G179" t="s">
        <v>1438</v>
      </c>
      <c r="H179" t="s">
        <v>2486</v>
      </c>
      <c r="I179" t="s">
        <v>1437</v>
      </c>
      <c r="J179" t="s">
        <v>2611</v>
      </c>
      <c r="L179" t="s">
        <v>2484</v>
      </c>
      <c r="M179" t="s">
        <v>3367</v>
      </c>
      <c r="N179" t="s">
        <v>2485</v>
      </c>
      <c r="O179" t="s">
        <v>1673</v>
      </c>
      <c r="P179" t="s">
        <v>1771</v>
      </c>
      <c r="Q179" t="s">
        <v>2486</v>
      </c>
      <c r="R179" t="s">
        <v>604</v>
      </c>
      <c r="S179" t="s">
        <v>2487</v>
      </c>
      <c r="T179" t="s">
        <v>1694</v>
      </c>
    </row>
    <row r="180" spans="1:20" ht="15" customHeight="1" x14ac:dyDescent="0.3">
      <c r="A180" t="s">
        <v>2488</v>
      </c>
      <c r="B180" t="s">
        <v>3367</v>
      </c>
      <c r="C180" t="s">
        <v>2642</v>
      </c>
      <c r="D180" t="s">
        <v>1501</v>
      </c>
      <c r="E180" t="s">
        <v>1502</v>
      </c>
      <c r="F180" t="s">
        <v>2623</v>
      </c>
      <c r="G180" t="s">
        <v>1438</v>
      </c>
      <c r="H180" t="s">
        <v>2490</v>
      </c>
      <c r="I180" t="s">
        <v>1437</v>
      </c>
      <c r="J180" t="s">
        <v>2611</v>
      </c>
      <c r="L180" t="s">
        <v>2488</v>
      </c>
      <c r="M180" t="s">
        <v>3367</v>
      </c>
      <c r="N180" t="s">
        <v>2489</v>
      </c>
      <c r="O180" t="s">
        <v>1673</v>
      </c>
      <c r="P180" t="s">
        <v>1771</v>
      </c>
      <c r="Q180" t="s">
        <v>2490</v>
      </c>
      <c r="R180" t="s">
        <v>604</v>
      </c>
      <c r="S180" t="s">
        <v>2491</v>
      </c>
      <c r="T180" t="s">
        <v>1695</v>
      </c>
    </row>
    <row r="181" spans="1:20" ht="15" customHeight="1" x14ac:dyDescent="0.3">
      <c r="A181" t="s">
        <v>2492</v>
      </c>
      <c r="B181" t="s">
        <v>3367</v>
      </c>
      <c r="C181" t="s">
        <v>2643</v>
      </c>
      <c r="D181" t="s">
        <v>1501</v>
      </c>
      <c r="E181" t="s">
        <v>1502</v>
      </c>
      <c r="F181" t="s">
        <v>2623</v>
      </c>
      <c r="G181" t="s">
        <v>1438</v>
      </c>
      <c r="H181" t="s">
        <v>2494</v>
      </c>
      <c r="I181" t="s">
        <v>1437</v>
      </c>
      <c r="J181" t="s">
        <v>2611</v>
      </c>
      <c r="L181" t="s">
        <v>2492</v>
      </c>
      <c r="M181" t="s">
        <v>3367</v>
      </c>
      <c r="N181" t="s">
        <v>2493</v>
      </c>
      <c r="O181" t="s">
        <v>1673</v>
      </c>
      <c r="P181" t="s">
        <v>1771</v>
      </c>
      <c r="Q181" t="s">
        <v>2494</v>
      </c>
      <c r="R181" t="s">
        <v>604</v>
      </c>
      <c r="S181" t="s">
        <v>2495</v>
      </c>
      <c r="T181" t="s">
        <v>1696</v>
      </c>
    </row>
    <row r="182" spans="1:20" ht="15" customHeight="1" x14ac:dyDescent="0.3">
      <c r="A182" t="s">
        <v>2496</v>
      </c>
      <c r="B182" t="s">
        <v>3367</v>
      </c>
      <c r="C182" t="s">
        <v>2644</v>
      </c>
      <c r="D182" t="s">
        <v>1501</v>
      </c>
      <c r="E182" t="s">
        <v>1502</v>
      </c>
      <c r="F182" t="s">
        <v>2623</v>
      </c>
      <c r="G182" t="s">
        <v>1438</v>
      </c>
      <c r="H182" t="s">
        <v>2498</v>
      </c>
      <c r="I182" t="s">
        <v>1437</v>
      </c>
      <c r="J182" t="s">
        <v>2611</v>
      </c>
      <c r="L182" t="s">
        <v>2496</v>
      </c>
      <c r="M182" t="s">
        <v>3367</v>
      </c>
      <c r="N182" t="s">
        <v>2497</v>
      </c>
      <c r="O182" t="s">
        <v>1673</v>
      </c>
      <c r="P182" t="s">
        <v>1771</v>
      </c>
      <c r="Q182" t="s">
        <v>2498</v>
      </c>
      <c r="R182" t="s">
        <v>604</v>
      </c>
      <c r="S182" t="s">
        <v>2499</v>
      </c>
      <c r="T182" t="s">
        <v>1697</v>
      </c>
    </row>
    <row r="183" spans="1:20" ht="15" customHeight="1" x14ac:dyDescent="0.3">
      <c r="A183" t="s">
        <v>2500</v>
      </c>
      <c r="B183" t="s">
        <v>3367</v>
      </c>
      <c r="C183" t="s">
        <v>2645</v>
      </c>
      <c r="D183" t="s">
        <v>1501</v>
      </c>
      <c r="E183" t="s">
        <v>1502</v>
      </c>
      <c r="F183" t="s">
        <v>2623</v>
      </c>
      <c r="G183" t="s">
        <v>1438</v>
      </c>
      <c r="H183" t="s">
        <v>2502</v>
      </c>
      <c r="I183" t="s">
        <v>1437</v>
      </c>
      <c r="J183" t="s">
        <v>2611</v>
      </c>
      <c r="L183" t="s">
        <v>2500</v>
      </c>
      <c r="M183" t="s">
        <v>3367</v>
      </c>
      <c r="N183" t="s">
        <v>2501</v>
      </c>
      <c r="O183" t="s">
        <v>1673</v>
      </c>
      <c r="P183" t="s">
        <v>1771</v>
      </c>
      <c r="Q183" t="s">
        <v>2502</v>
      </c>
      <c r="R183" t="s">
        <v>604</v>
      </c>
      <c r="S183" t="s">
        <v>2503</v>
      </c>
      <c r="T183" t="s">
        <v>1698</v>
      </c>
    </row>
    <row r="184" spans="1:20" ht="15" customHeight="1" x14ac:dyDescent="0.3">
      <c r="A184" t="s">
        <v>2504</v>
      </c>
      <c r="B184" t="s">
        <v>3367</v>
      </c>
      <c r="C184" t="s">
        <v>2646</v>
      </c>
      <c r="D184" t="s">
        <v>1501</v>
      </c>
      <c r="E184" t="s">
        <v>1502</v>
      </c>
      <c r="F184" t="s">
        <v>2623</v>
      </c>
      <c r="G184" t="s">
        <v>1438</v>
      </c>
      <c r="H184" t="s">
        <v>2506</v>
      </c>
      <c r="I184" t="s">
        <v>1437</v>
      </c>
      <c r="J184" t="s">
        <v>2611</v>
      </c>
      <c r="L184" t="s">
        <v>2504</v>
      </c>
      <c r="M184" t="s">
        <v>3367</v>
      </c>
      <c r="N184" t="s">
        <v>2505</v>
      </c>
      <c r="O184" t="s">
        <v>1673</v>
      </c>
      <c r="P184" t="s">
        <v>1771</v>
      </c>
      <c r="Q184" t="s">
        <v>2506</v>
      </c>
      <c r="R184" t="s">
        <v>604</v>
      </c>
      <c r="S184" t="s">
        <v>2507</v>
      </c>
      <c r="T184" t="s">
        <v>1699</v>
      </c>
    </row>
    <row r="185" spans="1:20" ht="15" customHeight="1" x14ac:dyDescent="0.3">
      <c r="A185" t="s">
        <v>2508</v>
      </c>
      <c r="B185" t="s">
        <v>3367</v>
      </c>
      <c r="C185" t="s">
        <v>2647</v>
      </c>
      <c r="D185" t="s">
        <v>1501</v>
      </c>
      <c r="E185" t="s">
        <v>1502</v>
      </c>
      <c r="F185" t="s">
        <v>2623</v>
      </c>
      <c r="G185" t="s">
        <v>1438</v>
      </c>
      <c r="H185" t="s">
        <v>2510</v>
      </c>
      <c r="I185" t="s">
        <v>1437</v>
      </c>
      <c r="J185" t="s">
        <v>2611</v>
      </c>
      <c r="L185" t="s">
        <v>2508</v>
      </c>
      <c r="M185" t="s">
        <v>3367</v>
      </c>
      <c r="N185" t="s">
        <v>2509</v>
      </c>
      <c r="O185" t="s">
        <v>1673</v>
      </c>
      <c r="P185" t="s">
        <v>1771</v>
      </c>
      <c r="Q185" t="s">
        <v>2510</v>
      </c>
      <c r="R185" t="s">
        <v>604</v>
      </c>
      <c r="S185" t="s">
        <v>2511</v>
      </c>
      <c r="T185" t="s">
        <v>1700</v>
      </c>
    </row>
    <row r="186" spans="1:20" ht="15" customHeight="1" x14ac:dyDescent="0.3">
      <c r="A186" t="s">
        <v>2512</v>
      </c>
      <c r="B186" t="s">
        <v>3367</v>
      </c>
      <c r="C186" t="s">
        <v>2648</v>
      </c>
      <c r="D186" t="s">
        <v>1501</v>
      </c>
      <c r="E186" t="s">
        <v>1502</v>
      </c>
      <c r="F186" t="s">
        <v>2623</v>
      </c>
      <c r="G186" t="s">
        <v>1438</v>
      </c>
      <c r="H186" t="s">
        <v>2514</v>
      </c>
      <c r="I186" t="s">
        <v>1437</v>
      </c>
      <c r="J186" t="s">
        <v>2611</v>
      </c>
      <c r="L186" t="s">
        <v>2512</v>
      </c>
      <c r="M186" t="s">
        <v>3367</v>
      </c>
      <c r="N186" t="s">
        <v>2513</v>
      </c>
      <c r="O186" t="s">
        <v>1673</v>
      </c>
      <c r="P186" t="s">
        <v>1771</v>
      </c>
      <c r="Q186" t="s">
        <v>2514</v>
      </c>
      <c r="R186" t="s">
        <v>604</v>
      </c>
      <c r="S186" t="s">
        <v>2515</v>
      </c>
      <c r="T186" t="s">
        <v>1701</v>
      </c>
    </row>
    <row r="187" spans="1:20" ht="15" customHeight="1" x14ac:dyDescent="0.3">
      <c r="A187" t="s">
        <v>2516</v>
      </c>
      <c r="B187" t="s">
        <v>3367</v>
      </c>
      <c r="C187" t="s">
        <v>2649</v>
      </c>
      <c r="D187" t="s">
        <v>1501</v>
      </c>
      <c r="E187" t="s">
        <v>1502</v>
      </c>
      <c r="F187" t="s">
        <v>2623</v>
      </c>
      <c r="G187" t="s">
        <v>1438</v>
      </c>
      <c r="H187" t="s">
        <v>2518</v>
      </c>
      <c r="I187" t="s">
        <v>1437</v>
      </c>
      <c r="J187" t="s">
        <v>2611</v>
      </c>
      <c r="L187" t="s">
        <v>2516</v>
      </c>
      <c r="M187" t="s">
        <v>3367</v>
      </c>
      <c r="N187" t="s">
        <v>2517</v>
      </c>
      <c r="O187" t="s">
        <v>1673</v>
      </c>
      <c r="P187" t="s">
        <v>1771</v>
      </c>
      <c r="Q187" t="s">
        <v>2518</v>
      </c>
      <c r="R187" t="s">
        <v>604</v>
      </c>
      <c r="S187" t="s">
        <v>2519</v>
      </c>
      <c r="T187" t="s">
        <v>1702</v>
      </c>
    </row>
    <row r="188" spans="1:20" ht="15" customHeight="1" x14ac:dyDescent="0.3">
      <c r="A188" t="s">
        <v>2520</v>
      </c>
      <c r="B188" t="s">
        <v>3367</v>
      </c>
      <c r="C188" t="s">
        <v>2650</v>
      </c>
      <c r="D188" t="s">
        <v>1501</v>
      </c>
      <c r="E188" t="s">
        <v>1502</v>
      </c>
      <c r="F188" t="s">
        <v>2623</v>
      </c>
      <c r="G188" t="s">
        <v>1438</v>
      </c>
      <c r="H188" t="s">
        <v>2522</v>
      </c>
      <c r="I188" t="s">
        <v>1437</v>
      </c>
      <c r="J188" t="s">
        <v>2611</v>
      </c>
      <c r="L188" t="s">
        <v>2520</v>
      </c>
      <c r="M188" t="s">
        <v>3367</v>
      </c>
      <c r="N188" t="s">
        <v>2521</v>
      </c>
      <c r="O188" t="s">
        <v>1673</v>
      </c>
      <c r="P188" t="s">
        <v>1771</v>
      </c>
      <c r="Q188" t="s">
        <v>2522</v>
      </c>
      <c r="R188" t="s">
        <v>604</v>
      </c>
      <c r="S188" t="s">
        <v>2523</v>
      </c>
      <c r="T188" t="s">
        <v>1703</v>
      </c>
    </row>
    <row r="189" spans="1:20" ht="15" customHeight="1" x14ac:dyDescent="0.3">
      <c r="A189" t="s">
        <v>2524</v>
      </c>
      <c r="B189" t="s">
        <v>3367</v>
      </c>
      <c r="C189" t="s">
        <v>2651</v>
      </c>
      <c r="D189" t="s">
        <v>1501</v>
      </c>
      <c r="E189" t="s">
        <v>1502</v>
      </c>
      <c r="F189" t="s">
        <v>2623</v>
      </c>
      <c r="G189" t="s">
        <v>1438</v>
      </c>
      <c r="H189" t="s">
        <v>2526</v>
      </c>
      <c r="I189" t="s">
        <v>1437</v>
      </c>
      <c r="J189" t="s">
        <v>2611</v>
      </c>
      <c r="L189" t="s">
        <v>2524</v>
      </c>
      <c r="M189" t="s">
        <v>3367</v>
      </c>
      <c r="N189" t="s">
        <v>2525</v>
      </c>
      <c r="O189" t="s">
        <v>1673</v>
      </c>
      <c r="P189" t="s">
        <v>1771</v>
      </c>
      <c r="Q189" t="s">
        <v>2526</v>
      </c>
      <c r="R189" t="s">
        <v>604</v>
      </c>
      <c r="S189" t="s">
        <v>2527</v>
      </c>
      <c r="T189" t="s">
        <v>1704</v>
      </c>
    </row>
    <row r="190" spans="1:20" ht="15" customHeight="1" x14ac:dyDescent="0.3">
      <c r="A190" t="s">
        <v>2528</v>
      </c>
      <c r="B190" t="s">
        <v>3367</v>
      </c>
      <c r="C190" t="s">
        <v>2652</v>
      </c>
      <c r="D190" t="s">
        <v>1501</v>
      </c>
      <c r="E190" t="s">
        <v>1502</v>
      </c>
      <c r="F190" t="s">
        <v>2623</v>
      </c>
      <c r="G190" t="s">
        <v>1438</v>
      </c>
      <c r="H190" t="s">
        <v>2530</v>
      </c>
      <c r="I190" t="s">
        <v>1437</v>
      </c>
      <c r="J190" t="s">
        <v>2611</v>
      </c>
      <c r="L190" t="s">
        <v>2528</v>
      </c>
      <c r="M190" t="s">
        <v>3367</v>
      </c>
      <c r="N190" t="s">
        <v>2529</v>
      </c>
      <c r="O190" t="s">
        <v>1673</v>
      </c>
      <c r="P190" t="s">
        <v>1771</v>
      </c>
      <c r="Q190" t="s">
        <v>2530</v>
      </c>
      <c r="R190" t="s">
        <v>604</v>
      </c>
      <c r="S190" t="s">
        <v>2531</v>
      </c>
      <c r="T190" t="s">
        <v>1705</v>
      </c>
    </row>
    <row r="191" spans="1:20" ht="15" customHeight="1" x14ac:dyDescent="0.3">
      <c r="A191" t="s">
        <v>2532</v>
      </c>
      <c r="B191" t="s">
        <v>3367</v>
      </c>
      <c r="C191" t="s">
        <v>2653</v>
      </c>
      <c r="D191" t="s">
        <v>1501</v>
      </c>
      <c r="E191" t="s">
        <v>1502</v>
      </c>
      <c r="F191" t="s">
        <v>2623</v>
      </c>
      <c r="G191" t="s">
        <v>1438</v>
      </c>
      <c r="H191" t="s">
        <v>2534</v>
      </c>
      <c r="I191" t="s">
        <v>1437</v>
      </c>
      <c r="J191" t="s">
        <v>2611</v>
      </c>
      <c r="L191" t="s">
        <v>2532</v>
      </c>
      <c r="M191" t="s">
        <v>3367</v>
      </c>
      <c r="N191" t="s">
        <v>2533</v>
      </c>
      <c r="O191" t="s">
        <v>1673</v>
      </c>
      <c r="P191" t="s">
        <v>1771</v>
      </c>
      <c r="Q191" t="s">
        <v>2534</v>
      </c>
      <c r="R191" t="s">
        <v>604</v>
      </c>
      <c r="S191" t="s">
        <v>2535</v>
      </c>
      <c r="T191" t="s">
        <v>1706</v>
      </c>
    </row>
    <row r="192" spans="1:20" ht="15" customHeight="1" x14ac:dyDescent="0.3">
      <c r="A192" t="s">
        <v>2536</v>
      </c>
      <c r="B192" t="s">
        <v>3367</v>
      </c>
      <c r="C192" t="s">
        <v>2654</v>
      </c>
      <c r="D192" t="s">
        <v>1501</v>
      </c>
      <c r="E192" t="s">
        <v>1502</v>
      </c>
      <c r="F192" t="s">
        <v>2623</v>
      </c>
      <c r="G192" t="s">
        <v>1438</v>
      </c>
      <c r="H192" t="s">
        <v>2538</v>
      </c>
      <c r="I192" t="s">
        <v>1437</v>
      </c>
      <c r="J192" t="s">
        <v>2611</v>
      </c>
      <c r="L192" t="s">
        <v>2536</v>
      </c>
      <c r="M192" t="s">
        <v>3367</v>
      </c>
      <c r="N192" t="s">
        <v>2537</v>
      </c>
      <c r="O192" t="s">
        <v>1673</v>
      </c>
      <c r="P192" t="s">
        <v>1771</v>
      </c>
      <c r="Q192" t="s">
        <v>2538</v>
      </c>
      <c r="R192" t="s">
        <v>604</v>
      </c>
      <c r="S192" t="s">
        <v>2539</v>
      </c>
      <c r="T192" t="s">
        <v>1707</v>
      </c>
    </row>
    <row r="193" spans="1:20" ht="15" customHeight="1" x14ac:dyDescent="0.3">
      <c r="A193" t="s">
        <v>2540</v>
      </c>
      <c r="B193" t="s">
        <v>3367</v>
      </c>
      <c r="C193" t="s">
        <v>2655</v>
      </c>
      <c r="D193" t="s">
        <v>1501</v>
      </c>
      <c r="E193" t="s">
        <v>1502</v>
      </c>
      <c r="F193" t="s">
        <v>2623</v>
      </c>
      <c r="G193" t="s">
        <v>1438</v>
      </c>
      <c r="H193" t="s">
        <v>2542</v>
      </c>
      <c r="I193" t="s">
        <v>1437</v>
      </c>
      <c r="J193" t="s">
        <v>2611</v>
      </c>
      <c r="L193" t="s">
        <v>2540</v>
      </c>
      <c r="M193" t="s">
        <v>3367</v>
      </c>
      <c r="N193" t="s">
        <v>2541</v>
      </c>
      <c r="O193" t="s">
        <v>1673</v>
      </c>
      <c r="P193" t="s">
        <v>1771</v>
      </c>
      <c r="Q193" t="s">
        <v>2542</v>
      </c>
      <c r="R193" t="s">
        <v>604</v>
      </c>
      <c r="S193" t="s">
        <v>2543</v>
      </c>
      <c r="T193" t="s">
        <v>1708</v>
      </c>
    </row>
    <row r="194" spans="1:20" ht="15" customHeight="1" x14ac:dyDescent="0.3">
      <c r="A194" t="s">
        <v>2544</v>
      </c>
      <c r="B194" t="s">
        <v>3367</v>
      </c>
      <c r="C194" t="s">
        <v>2656</v>
      </c>
      <c r="D194" t="s">
        <v>1501</v>
      </c>
      <c r="E194" t="s">
        <v>1502</v>
      </c>
      <c r="F194" t="s">
        <v>2688</v>
      </c>
      <c r="G194" t="s">
        <v>1438</v>
      </c>
      <c r="H194" t="s">
        <v>2546</v>
      </c>
      <c r="I194" t="s">
        <v>1437</v>
      </c>
      <c r="J194" t="s">
        <v>2613</v>
      </c>
      <c r="L194" t="s">
        <v>2544</v>
      </c>
      <c r="M194" t="s">
        <v>3367</v>
      </c>
      <c r="N194" t="s">
        <v>2545</v>
      </c>
      <c r="O194" t="s">
        <v>1673</v>
      </c>
      <c r="P194" t="s">
        <v>1771</v>
      </c>
      <c r="Q194" t="s">
        <v>2546</v>
      </c>
      <c r="R194" t="s">
        <v>604</v>
      </c>
      <c r="S194" t="s">
        <v>2547</v>
      </c>
      <c r="T194" t="s">
        <v>1709</v>
      </c>
    </row>
    <row r="195" spans="1:20" ht="15" customHeight="1" x14ac:dyDescent="0.3">
      <c r="A195" t="s">
        <v>2548</v>
      </c>
      <c r="B195" t="s">
        <v>3367</v>
      </c>
      <c r="C195" t="s">
        <v>2657</v>
      </c>
      <c r="D195" t="s">
        <v>1501</v>
      </c>
      <c r="E195" t="s">
        <v>1502</v>
      </c>
      <c r="F195" t="s">
        <v>2688</v>
      </c>
      <c r="G195" t="s">
        <v>1438</v>
      </c>
      <c r="H195" t="s">
        <v>2550</v>
      </c>
      <c r="I195" t="s">
        <v>1437</v>
      </c>
      <c r="J195" t="s">
        <v>2613</v>
      </c>
      <c r="L195" t="s">
        <v>2548</v>
      </c>
      <c r="M195" t="s">
        <v>3367</v>
      </c>
      <c r="N195" t="s">
        <v>2549</v>
      </c>
      <c r="O195" t="s">
        <v>1673</v>
      </c>
      <c r="P195" t="s">
        <v>1771</v>
      </c>
      <c r="Q195" t="s">
        <v>2550</v>
      </c>
      <c r="R195" t="s">
        <v>604</v>
      </c>
      <c r="S195" t="s">
        <v>2551</v>
      </c>
      <c r="T195" t="s">
        <v>1710</v>
      </c>
    </row>
    <row r="196" spans="1:20" ht="15" customHeight="1" x14ac:dyDescent="0.3">
      <c r="A196" t="s">
        <v>2552</v>
      </c>
      <c r="B196" t="s">
        <v>3367</v>
      </c>
      <c r="C196" t="s">
        <v>2658</v>
      </c>
      <c r="D196" t="s">
        <v>1501</v>
      </c>
      <c r="E196" t="s">
        <v>1502</v>
      </c>
      <c r="F196" t="s">
        <v>2688</v>
      </c>
      <c r="G196" t="s">
        <v>1438</v>
      </c>
      <c r="H196" t="s">
        <v>2554</v>
      </c>
      <c r="I196" t="s">
        <v>1437</v>
      </c>
      <c r="J196" t="s">
        <v>2613</v>
      </c>
      <c r="L196" t="s">
        <v>2552</v>
      </c>
      <c r="M196" t="s">
        <v>3367</v>
      </c>
      <c r="N196" t="s">
        <v>2553</v>
      </c>
      <c r="O196" t="s">
        <v>1673</v>
      </c>
      <c r="P196" t="s">
        <v>1771</v>
      </c>
      <c r="Q196" t="s">
        <v>2554</v>
      </c>
      <c r="R196" t="s">
        <v>604</v>
      </c>
      <c r="S196" t="s">
        <v>2555</v>
      </c>
      <c r="T196" t="s">
        <v>1711</v>
      </c>
    </row>
    <row r="197" spans="1:20" ht="15" customHeight="1" x14ac:dyDescent="0.3">
      <c r="A197" t="s">
        <v>2556</v>
      </c>
      <c r="B197" t="s">
        <v>3367</v>
      </c>
      <c r="C197" t="s">
        <v>2659</v>
      </c>
      <c r="D197" t="s">
        <v>1501</v>
      </c>
      <c r="E197" t="s">
        <v>1502</v>
      </c>
      <c r="F197" t="s">
        <v>2688</v>
      </c>
      <c r="G197" t="s">
        <v>1438</v>
      </c>
      <c r="H197" t="s">
        <v>2558</v>
      </c>
      <c r="I197" t="s">
        <v>1437</v>
      </c>
      <c r="J197" t="s">
        <v>2613</v>
      </c>
      <c r="L197" t="s">
        <v>2556</v>
      </c>
      <c r="M197" t="s">
        <v>3367</v>
      </c>
      <c r="N197" t="s">
        <v>2557</v>
      </c>
      <c r="O197" t="s">
        <v>1673</v>
      </c>
      <c r="P197" t="s">
        <v>1771</v>
      </c>
      <c r="Q197" t="s">
        <v>2558</v>
      </c>
      <c r="R197" t="s">
        <v>604</v>
      </c>
      <c r="S197" t="s">
        <v>2559</v>
      </c>
      <c r="T197" t="s">
        <v>1712</v>
      </c>
    </row>
    <row r="198" spans="1:20" ht="15" customHeight="1" x14ac:dyDescent="0.3">
      <c r="L198" t="s">
        <v>1442</v>
      </c>
      <c r="M198" t="s">
        <v>3367</v>
      </c>
      <c r="N198" t="s">
        <v>2560</v>
      </c>
      <c r="O198" t="s">
        <v>1673</v>
      </c>
      <c r="P198" t="s">
        <v>1772</v>
      </c>
      <c r="Q198" t="s">
        <v>2561</v>
      </c>
      <c r="R198" t="s">
        <v>604</v>
      </c>
      <c r="S198" t="s">
        <v>2562</v>
      </c>
      <c r="T198" t="s">
        <v>1675</v>
      </c>
    </row>
    <row r="199" spans="1:20" ht="15" customHeight="1" x14ac:dyDescent="0.3">
      <c r="L199" t="s">
        <v>1443</v>
      </c>
      <c r="M199" t="s">
        <v>3367</v>
      </c>
      <c r="N199" t="s">
        <v>2563</v>
      </c>
      <c r="O199" t="s">
        <v>1673</v>
      </c>
      <c r="P199" t="s">
        <v>1772</v>
      </c>
      <c r="Q199" t="s">
        <v>2564</v>
      </c>
      <c r="R199" t="s">
        <v>604</v>
      </c>
      <c r="S199" t="s">
        <v>2565</v>
      </c>
      <c r="T199" t="s">
        <v>1676</v>
      </c>
    </row>
    <row r="200" spans="1:20" ht="15" customHeight="1" x14ac:dyDescent="0.3">
      <c r="L200" t="s">
        <v>2566</v>
      </c>
      <c r="M200" t="s">
        <v>3367</v>
      </c>
      <c r="N200" t="s">
        <v>2567</v>
      </c>
      <c r="O200" t="s">
        <v>1673</v>
      </c>
      <c r="P200" t="s">
        <v>1772</v>
      </c>
      <c r="Q200" t="s">
        <v>2568</v>
      </c>
      <c r="R200" t="s">
        <v>604</v>
      </c>
      <c r="S200" t="s">
        <v>2569</v>
      </c>
      <c r="T200" t="s">
        <v>1677</v>
      </c>
    </row>
    <row r="201" spans="1:20" ht="15" customHeight="1" x14ac:dyDescent="0.3">
      <c r="L201" t="s">
        <v>2570</v>
      </c>
      <c r="M201" t="s">
        <v>3367</v>
      </c>
      <c r="N201" t="s">
        <v>2571</v>
      </c>
      <c r="O201" t="s">
        <v>1673</v>
      </c>
      <c r="P201" t="s">
        <v>1772</v>
      </c>
      <c r="Q201" t="s">
        <v>2572</v>
      </c>
      <c r="R201" t="s">
        <v>604</v>
      </c>
      <c r="S201" t="s">
        <v>2573</v>
      </c>
      <c r="T201" t="s">
        <v>1678</v>
      </c>
    </row>
    <row r="202" spans="1:20" ht="15" customHeight="1" x14ac:dyDescent="0.3">
      <c r="L202" t="s">
        <v>3204</v>
      </c>
      <c r="M202" t="s">
        <v>3367</v>
      </c>
      <c r="N202" t="s">
        <v>3205</v>
      </c>
      <c r="O202" t="s">
        <v>1673</v>
      </c>
      <c r="P202" t="s">
        <v>1773</v>
      </c>
      <c r="Q202" t="s">
        <v>3206</v>
      </c>
      <c r="R202" t="s">
        <v>604</v>
      </c>
      <c r="S202" t="s">
        <v>3207</v>
      </c>
      <c r="T202" t="s">
        <v>1675</v>
      </c>
    </row>
    <row r="203" spans="1:20" ht="15" customHeight="1" x14ac:dyDescent="0.3">
      <c r="L203" t="s">
        <v>2574</v>
      </c>
      <c r="M203" t="s">
        <v>3367</v>
      </c>
      <c r="N203" t="s">
        <v>2575</v>
      </c>
      <c r="O203" t="s">
        <v>1673</v>
      </c>
      <c r="P203" t="s">
        <v>1773</v>
      </c>
      <c r="Q203" t="s">
        <v>2576</v>
      </c>
      <c r="R203" t="s">
        <v>604</v>
      </c>
      <c r="S203" t="s">
        <v>2577</v>
      </c>
      <c r="T203" t="s">
        <v>1676</v>
      </c>
    </row>
    <row r="204" spans="1:20" ht="15" customHeight="1" x14ac:dyDescent="0.3">
      <c r="L204" t="s">
        <v>2578</v>
      </c>
      <c r="M204" t="s">
        <v>3367</v>
      </c>
      <c r="N204" t="s">
        <v>2579</v>
      </c>
      <c r="O204" t="s">
        <v>1673</v>
      </c>
      <c r="P204" t="s">
        <v>1773</v>
      </c>
      <c r="Q204" t="s">
        <v>2580</v>
      </c>
      <c r="R204" t="s">
        <v>604</v>
      </c>
      <c r="S204" t="s">
        <v>2581</v>
      </c>
      <c r="T204" t="s">
        <v>1677</v>
      </c>
    </row>
    <row r="205" spans="1:20" ht="15" customHeight="1" x14ac:dyDescent="0.3">
      <c r="L205" t="s">
        <v>2582</v>
      </c>
      <c r="M205" t="s">
        <v>3367</v>
      </c>
      <c r="N205" t="s">
        <v>2583</v>
      </c>
      <c r="O205" t="s">
        <v>1673</v>
      </c>
      <c r="P205" t="s">
        <v>1773</v>
      </c>
      <c r="Q205" t="s">
        <v>2584</v>
      </c>
      <c r="R205" t="s">
        <v>604</v>
      </c>
      <c r="S205" t="s">
        <v>2585</v>
      </c>
      <c r="T205" t="s">
        <v>1678</v>
      </c>
    </row>
    <row r="206" spans="1:20" ht="15" customHeight="1" x14ac:dyDescent="0.3">
      <c r="L206" t="s">
        <v>2586</v>
      </c>
      <c r="M206" t="s">
        <v>3367</v>
      </c>
      <c r="N206" t="s">
        <v>2587</v>
      </c>
      <c r="O206" t="s">
        <v>1673</v>
      </c>
      <c r="P206" t="s">
        <v>1773</v>
      </c>
      <c r="Q206" t="s">
        <v>2588</v>
      </c>
      <c r="R206" t="s">
        <v>604</v>
      </c>
      <c r="S206" t="s">
        <v>2589</v>
      </c>
      <c r="T206" t="s">
        <v>1679</v>
      </c>
    </row>
    <row r="207" spans="1:20" ht="15" customHeight="1" x14ac:dyDescent="0.3">
      <c r="L207" t="s">
        <v>2590</v>
      </c>
      <c r="M207" t="s">
        <v>3367</v>
      </c>
      <c r="N207" t="s">
        <v>2591</v>
      </c>
      <c r="O207" t="s">
        <v>1673</v>
      </c>
      <c r="P207" t="s">
        <v>1773</v>
      </c>
      <c r="Q207" t="s">
        <v>2592</v>
      </c>
      <c r="R207" t="s">
        <v>604</v>
      </c>
      <c r="S207" t="s">
        <v>2593</v>
      </c>
      <c r="T207" t="s">
        <v>1680</v>
      </c>
    </row>
    <row r="208" spans="1:20" ht="15" customHeight="1" x14ac:dyDescent="0.3">
      <c r="L208" t="s">
        <v>2594</v>
      </c>
      <c r="M208" t="s">
        <v>3367</v>
      </c>
      <c r="N208" t="s">
        <v>2595</v>
      </c>
      <c r="O208" t="s">
        <v>1673</v>
      </c>
      <c r="P208" t="s">
        <v>1773</v>
      </c>
      <c r="Q208" t="s">
        <v>2596</v>
      </c>
      <c r="R208" t="s">
        <v>604</v>
      </c>
      <c r="S208" t="s">
        <v>2597</v>
      </c>
      <c r="T208" t="s">
        <v>1681</v>
      </c>
    </row>
    <row r="209" spans="12:20" ht="15" customHeight="1" x14ac:dyDescent="0.3">
      <c r="L209" t="s">
        <v>2598</v>
      </c>
      <c r="M209" t="s">
        <v>3367</v>
      </c>
      <c r="N209" t="s">
        <v>2599</v>
      </c>
      <c r="O209" t="s">
        <v>1673</v>
      </c>
      <c r="P209" t="s">
        <v>1773</v>
      </c>
      <c r="Q209" t="s">
        <v>2600</v>
      </c>
      <c r="R209" t="s">
        <v>604</v>
      </c>
      <c r="S209" t="s">
        <v>2601</v>
      </c>
      <c r="T209" t="s">
        <v>1682</v>
      </c>
    </row>
    <row r="210" spans="12:20" ht="15" customHeight="1" x14ac:dyDescent="0.3">
      <c r="L210" t="s">
        <v>2691</v>
      </c>
      <c r="M210" t="s">
        <v>3367</v>
      </c>
      <c r="N210" t="s">
        <v>2692</v>
      </c>
      <c r="O210" t="s">
        <v>1673</v>
      </c>
      <c r="P210" t="s">
        <v>1773</v>
      </c>
      <c r="Q210" t="s">
        <v>2693</v>
      </c>
      <c r="R210" t="s">
        <v>604</v>
      </c>
      <c r="S210" t="s">
        <v>2694</v>
      </c>
      <c r="T210" t="s">
        <v>1683</v>
      </c>
    </row>
    <row r="211" spans="12:20" ht="15" customHeight="1" x14ac:dyDescent="0.3">
      <c r="L211" t="s">
        <v>2602</v>
      </c>
      <c r="M211" t="s">
        <v>3367</v>
      </c>
      <c r="N211" t="s">
        <v>2603</v>
      </c>
      <c r="O211" t="s">
        <v>1673</v>
      </c>
      <c r="P211" t="s">
        <v>1773</v>
      </c>
      <c r="Q211" t="s">
        <v>2604</v>
      </c>
      <c r="R211" t="s">
        <v>604</v>
      </c>
      <c r="S211" t="s">
        <v>2605</v>
      </c>
      <c r="T211" t="s">
        <v>1684</v>
      </c>
    </row>
    <row r="212" spans="12:20" ht="15" customHeight="1" x14ac:dyDescent="0.3">
      <c r="L212" t="s">
        <v>2606</v>
      </c>
      <c r="M212" t="s">
        <v>3367</v>
      </c>
      <c r="N212" t="s">
        <v>2607</v>
      </c>
      <c r="O212" t="s">
        <v>1673</v>
      </c>
      <c r="P212" t="s">
        <v>1773</v>
      </c>
      <c r="Q212" t="s">
        <v>2608</v>
      </c>
      <c r="R212" t="s">
        <v>604</v>
      </c>
      <c r="S212" t="s">
        <v>2609</v>
      </c>
      <c r="T212" t="s">
        <v>1685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688D3-C1AF-49DA-9E99-7B13CE153B14}">
  <sheetPr codeName="Sheet11">
    <tabColor theme="9" tint="0.79998168889431442"/>
  </sheetPr>
  <dimension ref="A1:G212"/>
  <sheetViews>
    <sheetView topLeftCell="A49" zoomScale="85" zoomScaleNormal="85" workbookViewId="0">
      <selection activeCell="C27" sqref="C27"/>
    </sheetView>
  </sheetViews>
  <sheetFormatPr defaultRowHeight="16.5" x14ac:dyDescent="0.3"/>
  <cols>
    <col min="1" max="1" width="18.375" bestFit="1" customWidth="1"/>
    <col min="2" max="2" width="51" customWidth="1"/>
    <col min="3" max="3" width="30.375" customWidth="1"/>
    <col min="4" max="4" width="38.375" customWidth="1"/>
    <col min="5" max="7" width="30" customWidth="1"/>
  </cols>
  <sheetData>
    <row r="1" spans="1:7" x14ac:dyDescent="0.3">
      <c r="A1" t="s">
        <v>1609</v>
      </c>
      <c r="B1" t="s">
        <v>5</v>
      </c>
      <c r="C1" t="s">
        <v>34</v>
      </c>
      <c r="D1" t="s">
        <v>33</v>
      </c>
      <c r="E1" t="s">
        <v>1655</v>
      </c>
      <c r="F1" t="s">
        <v>1656</v>
      </c>
      <c r="G1" t="s">
        <v>1657</v>
      </c>
    </row>
    <row r="2" spans="1:7" x14ac:dyDescent="0.3">
      <c r="A2" t="s">
        <v>1620</v>
      </c>
      <c r="B2" t="s">
        <v>1776</v>
      </c>
      <c r="C2" t="s">
        <v>3367</v>
      </c>
      <c r="D2" t="s">
        <v>3208</v>
      </c>
      <c r="E2" t="s">
        <v>1620</v>
      </c>
      <c r="F2" t="s">
        <v>1658</v>
      </c>
      <c r="G2" t="s">
        <v>1778</v>
      </c>
    </row>
    <row r="3" spans="1:7" x14ac:dyDescent="0.3">
      <c r="A3" t="s">
        <v>1620</v>
      </c>
      <c r="B3" t="s">
        <v>1780</v>
      </c>
      <c r="C3" t="s">
        <v>3367</v>
      </c>
      <c r="D3" t="s">
        <v>3209</v>
      </c>
      <c r="E3" t="s">
        <v>1620</v>
      </c>
      <c r="F3" t="s">
        <v>1658</v>
      </c>
      <c r="G3" t="s">
        <v>1782</v>
      </c>
    </row>
    <row r="4" spans="1:7" x14ac:dyDescent="0.3">
      <c r="A4" t="s">
        <v>2660</v>
      </c>
      <c r="B4" t="s">
        <v>1784</v>
      </c>
      <c r="C4" t="s">
        <v>3367</v>
      </c>
      <c r="D4" t="s">
        <v>3210</v>
      </c>
      <c r="E4" t="s">
        <v>2660</v>
      </c>
      <c r="F4" t="s">
        <v>1658</v>
      </c>
      <c r="G4" t="s">
        <v>1786</v>
      </c>
    </row>
    <row r="5" spans="1:7" x14ac:dyDescent="0.3">
      <c r="A5" t="s">
        <v>2660</v>
      </c>
      <c r="B5" t="s">
        <v>1788</v>
      </c>
      <c r="C5" t="s">
        <v>3367</v>
      </c>
      <c r="D5" t="s">
        <v>3211</v>
      </c>
      <c r="E5" t="s">
        <v>2660</v>
      </c>
      <c r="F5" t="s">
        <v>1658</v>
      </c>
      <c r="G5" t="s">
        <v>1790</v>
      </c>
    </row>
    <row r="6" spans="1:7" x14ac:dyDescent="0.3">
      <c r="A6" t="s">
        <v>1610</v>
      </c>
      <c r="B6" t="s">
        <v>1792</v>
      </c>
      <c r="C6" t="s">
        <v>3367</v>
      </c>
      <c r="D6" t="s">
        <v>3212</v>
      </c>
      <c r="E6" t="s">
        <v>1610</v>
      </c>
      <c r="F6" t="s">
        <v>1658</v>
      </c>
      <c r="G6" t="s">
        <v>1794</v>
      </c>
    </row>
    <row r="7" spans="1:7" x14ac:dyDescent="0.3">
      <c r="A7" t="s">
        <v>1610</v>
      </c>
      <c r="B7" t="s">
        <v>1796</v>
      </c>
      <c r="C7" t="s">
        <v>3367</v>
      </c>
      <c r="D7" t="s">
        <v>3213</v>
      </c>
      <c r="E7" t="s">
        <v>1610</v>
      </c>
      <c r="F7" t="s">
        <v>1658</v>
      </c>
      <c r="G7" t="s">
        <v>1798</v>
      </c>
    </row>
    <row r="8" spans="1:7" x14ac:dyDescent="0.3">
      <c r="A8" t="s">
        <v>1610</v>
      </c>
      <c r="B8" t="s">
        <v>1800</v>
      </c>
      <c r="C8" t="s">
        <v>3367</v>
      </c>
      <c r="D8" t="s">
        <v>3214</v>
      </c>
      <c r="E8" t="s">
        <v>1610</v>
      </c>
      <c r="F8" t="s">
        <v>1658</v>
      </c>
      <c r="G8" t="s">
        <v>1802</v>
      </c>
    </row>
    <row r="9" spans="1:7" x14ac:dyDescent="0.3">
      <c r="A9" t="s">
        <v>1611</v>
      </c>
      <c r="B9" t="s">
        <v>1804</v>
      </c>
      <c r="C9" t="s">
        <v>3367</v>
      </c>
      <c r="D9" t="s">
        <v>3215</v>
      </c>
      <c r="E9" t="s">
        <v>1611</v>
      </c>
      <c r="F9" t="s">
        <v>1658</v>
      </c>
      <c r="G9" t="s">
        <v>1806</v>
      </c>
    </row>
    <row r="10" spans="1:7" x14ac:dyDescent="0.3">
      <c r="A10" t="s">
        <v>1611</v>
      </c>
      <c r="B10" t="s">
        <v>1808</v>
      </c>
      <c r="C10" t="s">
        <v>3367</v>
      </c>
      <c r="D10" t="s">
        <v>3216</v>
      </c>
      <c r="E10" t="s">
        <v>1611</v>
      </c>
      <c r="F10" t="s">
        <v>1658</v>
      </c>
      <c r="G10" t="s">
        <v>1810</v>
      </c>
    </row>
    <row r="11" spans="1:7" x14ac:dyDescent="0.3">
      <c r="A11" t="s">
        <v>1612</v>
      </c>
      <c r="B11" t="s">
        <v>1812</v>
      </c>
      <c r="C11" t="s">
        <v>3367</v>
      </c>
      <c r="D11" t="s">
        <v>3217</v>
      </c>
      <c r="E11" t="s">
        <v>1612</v>
      </c>
      <c r="F11" t="s">
        <v>1658</v>
      </c>
      <c r="G11" t="s">
        <v>1814</v>
      </c>
    </row>
    <row r="12" spans="1:7" x14ac:dyDescent="0.3">
      <c r="A12" t="s">
        <v>1613</v>
      </c>
      <c r="B12" t="s">
        <v>1816</v>
      </c>
      <c r="C12" t="s">
        <v>3367</v>
      </c>
      <c r="D12" t="s">
        <v>3218</v>
      </c>
      <c r="E12" t="s">
        <v>1613</v>
      </c>
      <c r="F12" t="s">
        <v>1658</v>
      </c>
      <c r="G12" t="s">
        <v>1818</v>
      </c>
    </row>
    <row r="13" spans="1:7" x14ac:dyDescent="0.3">
      <c r="A13" t="s">
        <v>1615</v>
      </c>
      <c r="B13" t="s">
        <v>1820</v>
      </c>
      <c r="C13" t="s">
        <v>3367</v>
      </c>
      <c r="D13" t="s">
        <v>3219</v>
      </c>
      <c r="E13" t="s">
        <v>1615</v>
      </c>
      <c r="F13" t="s">
        <v>1658</v>
      </c>
      <c r="G13" t="s">
        <v>1822</v>
      </c>
    </row>
    <row r="14" spans="1:7" x14ac:dyDescent="0.3">
      <c r="A14" t="s">
        <v>1615</v>
      </c>
      <c r="B14" t="s">
        <v>1824</v>
      </c>
      <c r="C14" t="s">
        <v>3367</v>
      </c>
      <c r="D14" t="s">
        <v>3220</v>
      </c>
      <c r="E14" t="s">
        <v>1615</v>
      </c>
      <c r="F14" t="s">
        <v>1658</v>
      </c>
      <c r="G14" t="s">
        <v>1826</v>
      </c>
    </row>
    <row r="15" spans="1:7" x14ac:dyDescent="0.3">
      <c r="A15" t="s">
        <v>1616</v>
      </c>
      <c r="B15" t="s">
        <v>1828</v>
      </c>
      <c r="C15" t="s">
        <v>3367</v>
      </c>
      <c r="D15" t="s">
        <v>3221</v>
      </c>
      <c r="E15" t="s">
        <v>1616</v>
      </c>
      <c r="F15" t="s">
        <v>1658</v>
      </c>
      <c r="G15" t="s">
        <v>1830</v>
      </c>
    </row>
    <row r="16" spans="1:7" x14ac:dyDescent="0.3">
      <c r="A16" t="s">
        <v>1616</v>
      </c>
      <c r="B16" t="s">
        <v>1832</v>
      </c>
      <c r="C16" t="s">
        <v>3367</v>
      </c>
      <c r="D16" t="s">
        <v>3222</v>
      </c>
      <c r="E16" t="s">
        <v>1616</v>
      </c>
      <c r="F16" t="s">
        <v>1658</v>
      </c>
      <c r="G16" t="s">
        <v>1834</v>
      </c>
    </row>
    <row r="17" spans="1:7" x14ac:dyDescent="0.3">
      <c r="A17" t="s">
        <v>1617</v>
      </c>
      <c r="B17" t="s">
        <v>1836</v>
      </c>
      <c r="C17" t="s">
        <v>3367</v>
      </c>
      <c r="D17" t="s">
        <v>3223</v>
      </c>
      <c r="E17" t="s">
        <v>1617</v>
      </c>
      <c r="F17" t="s">
        <v>1658</v>
      </c>
      <c r="G17" t="s">
        <v>1838</v>
      </c>
    </row>
    <row r="18" spans="1:7" x14ac:dyDescent="0.3">
      <c r="A18" t="s">
        <v>1617</v>
      </c>
      <c r="B18" t="s">
        <v>1840</v>
      </c>
      <c r="C18" t="s">
        <v>3367</v>
      </c>
      <c r="D18" t="s">
        <v>3224</v>
      </c>
      <c r="E18" t="s">
        <v>1617</v>
      </c>
      <c r="F18" t="s">
        <v>1658</v>
      </c>
      <c r="G18" t="s">
        <v>1842</v>
      </c>
    </row>
    <row r="19" spans="1:7" x14ac:dyDescent="0.3">
      <c r="A19" t="s">
        <v>1618</v>
      </c>
      <c r="B19" t="s">
        <v>1844</v>
      </c>
      <c r="C19" t="s">
        <v>3367</v>
      </c>
      <c r="D19" t="s">
        <v>3225</v>
      </c>
      <c r="E19" t="s">
        <v>1618</v>
      </c>
      <c r="F19" t="s">
        <v>1658</v>
      </c>
      <c r="G19" t="s">
        <v>1846</v>
      </c>
    </row>
    <row r="20" spans="1:7" x14ac:dyDescent="0.3">
      <c r="A20" t="s">
        <v>1618</v>
      </c>
      <c r="B20" t="s">
        <v>1848</v>
      </c>
      <c r="C20" t="s">
        <v>3367</v>
      </c>
      <c r="D20" t="s">
        <v>3226</v>
      </c>
      <c r="E20" t="s">
        <v>1618</v>
      </c>
      <c r="F20" t="s">
        <v>1658</v>
      </c>
      <c r="G20" t="s">
        <v>1850</v>
      </c>
    </row>
    <row r="21" spans="1:7" x14ac:dyDescent="0.3">
      <c r="A21" t="s">
        <v>1619</v>
      </c>
      <c r="B21" t="s">
        <v>1852</v>
      </c>
      <c r="C21" t="s">
        <v>3367</v>
      </c>
      <c r="D21" t="s">
        <v>3227</v>
      </c>
      <c r="E21" t="s">
        <v>1619</v>
      </c>
      <c r="F21" t="s">
        <v>1658</v>
      </c>
      <c r="G21" t="s">
        <v>1854</v>
      </c>
    </row>
    <row r="22" spans="1:7" x14ac:dyDescent="0.3">
      <c r="A22" t="s">
        <v>1619</v>
      </c>
      <c r="B22" t="s">
        <v>1856</v>
      </c>
      <c r="C22" t="s">
        <v>3367</v>
      </c>
      <c r="D22" t="s">
        <v>3228</v>
      </c>
      <c r="E22" t="s">
        <v>1619</v>
      </c>
      <c r="F22" t="s">
        <v>1658</v>
      </c>
      <c r="G22" t="s">
        <v>1858</v>
      </c>
    </row>
    <row r="23" spans="1:7" x14ac:dyDescent="0.3">
      <c r="A23" t="s">
        <v>1620</v>
      </c>
      <c r="B23" t="s">
        <v>1860</v>
      </c>
      <c r="C23" t="s">
        <v>3367</v>
      </c>
      <c r="D23" t="s">
        <v>3229</v>
      </c>
      <c r="E23" t="s">
        <v>1620</v>
      </c>
      <c r="F23" t="s">
        <v>1658</v>
      </c>
      <c r="G23" t="s">
        <v>1862</v>
      </c>
    </row>
    <row r="24" spans="1:7" x14ac:dyDescent="0.3">
      <c r="A24" t="s">
        <v>1614</v>
      </c>
      <c r="B24" t="s">
        <v>1864</v>
      </c>
      <c r="C24" t="s">
        <v>3367</v>
      </c>
      <c r="D24" t="s">
        <v>3230</v>
      </c>
      <c r="E24" t="s">
        <v>1614</v>
      </c>
      <c r="F24" t="s">
        <v>1658</v>
      </c>
      <c r="G24" t="s">
        <v>1866</v>
      </c>
    </row>
    <row r="25" spans="1:7" x14ac:dyDescent="0.3">
      <c r="A25" t="s">
        <v>1610</v>
      </c>
      <c r="B25" t="s">
        <v>1868</v>
      </c>
      <c r="C25" t="s">
        <v>3367</v>
      </c>
      <c r="D25" t="s">
        <v>3231</v>
      </c>
      <c r="E25" t="s">
        <v>1610</v>
      </c>
      <c r="F25" t="s">
        <v>1658</v>
      </c>
      <c r="G25" t="s">
        <v>1870</v>
      </c>
    </row>
    <row r="26" spans="1:7" x14ac:dyDescent="0.3">
      <c r="A26" t="s">
        <v>1610</v>
      </c>
      <c r="B26" t="s">
        <v>1872</v>
      </c>
      <c r="C26" t="s">
        <v>3367</v>
      </c>
      <c r="D26" t="s">
        <v>3232</v>
      </c>
      <c r="E26" t="s">
        <v>1610</v>
      </c>
      <c r="F26" t="s">
        <v>1658</v>
      </c>
      <c r="G26" t="s">
        <v>1874</v>
      </c>
    </row>
    <row r="27" spans="1:7" x14ac:dyDescent="0.3">
      <c r="A27" t="s">
        <v>1610</v>
      </c>
      <c r="B27" t="s">
        <v>1876</v>
      </c>
      <c r="C27" t="s">
        <v>3367</v>
      </c>
      <c r="D27" t="s">
        <v>3233</v>
      </c>
      <c r="E27" t="s">
        <v>1610</v>
      </c>
      <c r="F27" t="s">
        <v>1658</v>
      </c>
      <c r="G27" t="s">
        <v>1878</v>
      </c>
    </row>
    <row r="28" spans="1:7" x14ac:dyDescent="0.3">
      <c r="A28" t="s">
        <v>1610</v>
      </c>
      <c r="B28" t="s">
        <v>1880</v>
      </c>
      <c r="C28" t="s">
        <v>3367</v>
      </c>
      <c r="D28" t="s">
        <v>3234</v>
      </c>
      <c r="E28" t="s">
        <v>1610</v>
      </c>
      <c r="F28" t="s">
        <v>1658</v>
      </c>
      <c r="G28" t="s">
        <v>1882</v>
      </c>
    </row>
    <row r="29" spans="1:7" x14ac:dyDescent="0.3">
      <c r="A29" t="s">
        <v>1610</v>
      </c>
      <c r="B29" t="s">
        <v>1884</v>
      </c>
      <c r="C29" t="s">
        <v>3367</v>
      </c>
      <c r="D29" t="s">
        <v>3235</v>
      </c>
      <c r="E29" t="s">
        <v>1610</v>
      </c>
      <c r="F29" t="s">
        <v>1658</v>
      </c>
      <c r="G29" t="s">
        <v>1886</v>
      </c>
    </row>
    <row r="30" spans="1:7" x14ac:dyDescent="0.3">
      <c r="A30" t="s">
        <v>1610</v>
      </c>
      <c r="B30" t="s">
        <v>1888</v>
      </c>
      <c r="C30" t="s">
        <v>3367</v>
      </c>
      <c r="D30" t="s">
        <v>3236</v>
      </c>
      <c r="E30" t="s">
        <v>1610</v>
      </c>
      <c r="F30" t="s">
        <v>1658</v>
      </c>
      <c r="G30" t="s">
        <v>1890</v>
      </c>
    </row>
    <row r="31" spans="1:7" x14ac:dyDescent="0.3">
      <c r="A31" t="s">
        <v>1611</v>
      </c>
      <c r="B31" t="s">
        <v>1892</v>
      </c>
      <c r="C31" t="s">
        <v>3367</v>
      </c>
      <c r="D31" t="s">
        <v>3237</v>
      </c>
      <c r="E31" t="s">
        <v>1611</v>
      </c>
      <c r="F31" t="s">
        <v>1658</v>
      </c>
      <c r="G31" t="s">
        <v>1894</v>
      </c>
    </row>
    <row r="32" spans="1:7" x14ac:dyDescent="0.3">
      <c r="A32" t="s">
        <v>1611</v>
      </c>
      <c r="B32" t="s">
        <v>1896</v>
      </c>
      <c r="C32" t="s">
        <v>3367</v>
      </c>
      <c r="D32" t="s">
        <v>3238</v>
      </c>
      <c r="E32" t="s">
        <v>1611</v>
      </c>
      <c r="F32" t="s">
        <v>1658</v>
      </c>
      <c r="G32" t="s">
        <v>1898</v>
      </c>
    </row>
    <row r="33" spans="1:7" x14ac:dyDescent="0.3">
      <c r="A33" t="s">
        <v>1611</v>
      </c>
      <c r="B33" t="s">
        <v>1900</v>
      </c>
      <c r="C33" t="s">
        <v>3367</v>
      </c>
      <c r="D33" t="s">
        <v>3239</v>
      </c>
      <c r="E33" t="s">
        <v>1611</v>
      </c>
      <c r="F33" t="s">
        <v>1658</v>
      </c>
      <c r="G33" t="s">
        <v>1902</v>
      </c>
    </row>
    <row r="34" spans="1:7" x14ac:dyDescent="0.3">
      <c r="A34" t="s">
        <v>1611</v>
      </c>
      <c r="B34" t="s">
        <v>1904</v>
      </c>
      <c r="C34" t="s">
        <v>3367</v>
      </c>
      <c r="D34" t="s">
        <v>3240</v>
      </c>
      <c r="E34" t="s">
        <v>1611</v>
      </c>
      <c r="F34" t="s">
        <v>1658</v>
      </c>
      <c r="G34" t="s">
        <v>1906</v>
      </c>
    </row>
    <row r="35" spans="1:7" x14ac:dyDescent="0.3">
      <c r="A35" t="s">
        <v>1610</v>
      </c>
      <c r="B35" t="s">
        <v>1908</v>
      </c>
      <c r="C35" t="s">
        <v>3367</v>
      </c>
      <c r="D35" t="s">
        <v>3241</v>
      </c>
      <c r="E35" t="s">
        <v>1610</v>
      </c>
      <c r="F35" t="s">
        <v>1658</v>
      </c>
      <c r="G35" t="s">
        <v>1910</v>
      </c>
    </row>
    <row r="36" spans="1:7" x14ac:dyDescent="0.3">
      <c r="A36" t="s">
        <v>1611</v>
      </c>
      <c r="B36" t="s">
        <v>1912</v>
      </c>
      <c r="C36" t="s">
        <v>3367</v>
      </c>
      <c r="D36" t="s">
        <v>3242</v>
      </c>
      <c r="E36" t="s">
        <v>1611</v>
      </c>
      <c r="F36" t="s">
        <v>1658</v>
      </c>
      <c r="G36" t="s">
        <v>1914</v>
      </c>
    </row>
    <row r="37" spans="1:7" x14ac:dyDescent="0.3">
      <c r="A37" t="s">
        <v>1612</v>
      </c>
      <c r="B37" t="s">
        <v>1916</v>
      </c>
      <c r="C37" t="s">
        <v>3367</v>
      </c>
      <c r="D37" t="s">
        <v>3243</v>
      </c>
      <c r="E37" t="s">
        <v>1612</v>
      </c>
      <c r="F37" t="s">
        <v>1658</v>
      </c>
      <c r="G37" t="s">
        <v>1918</v>
      </c>
    </row>
    <row r="38" spans="1:7" x14ac:dyDescent="0.3">
      <c r="A38" t="s">
        <v>1613</v>
      </c>
      <c r="B38" t="s">
        <v>1920</v>
      </c>
      <c r="C38" t="s">
        <v>3367</v>
      </c>
      <c r="D38" t="s">
        <v>3244</v>
      </c>
      <c r="E38" t="s">
        <v>1613</v>
      </c>
      <c r="F38" t="s">
        <v>1658</v>
      </c>
      <c r="G38" t="s">
        <v>1922</v>
      </c>
    </row>
    <row r="39" spans="1:7" x14ac:dyDescent="0.3">
      <c r="A39" t="s">
        <v>1614</v>
      </c>
      <c r="B39" t="s">
        <v>1924</v>
      </c>
      <c r="C39" t="s">
        <v>3367</v>
      </c>
      <c r="D39" t="s">
        <v>3245</v>
      </c>
      <c r="E39" t="s">
        <v>1614</v>
      </c>
      <c r="F39" t="s">
        <v>1658</v>
      </c>
      <c r="G39" t="s">
        <v>1926</v>
      </c>
    </row>
    <row r="40" spans="1:7" x14ac:dyDescent="0.3">
      <c r="A40" t="s">
        <v>2661</v>
      </c>
      <c r="B40" t="s">
        <v>1928</v>
      </c>
      <c r="C40" t="s">
        <v>3367</v>
      </c>
      <c r="D40" t="s">
        <v>3246</v>
      </c>
      <c r="E40" t="s">
        <v>2661</v>
      </c>
      <c r="F40" t="s">
        <v>1658</v>
      </c>
      <c r="G40" t="s">
        <v>1930</v>
      </c>
    </row>
    <row r="41" spans="1:7" x14ac:dyDescent="0.3">
      <c r="A41" t="s">
        <v>2662</v>
      </c>
      <c r="B41" t="s">
        <v>1932</v>
      </c>
      <c r="C41" t="s">
        <v>3367</v>
      </c>
      <c r="D41" t="s">
        <v>3247</v>
      </c>
      <c r="E41" t="s">
        <v>2662</v>
      </c>
      <c r="F41" t="s">
        <v>1658</v>
      </c>
      <c r="G41" t="s">
        <v>1934</v>
      </c>
    </row>
    <row r="42" spans="1:7" x14ac:dyDescent="0.3">
      <c r="A42" t="s">
        <v>1612</v>
      </c>
      <c r="B42" t="s">
        <v>1936</v>
      </c>
      <c r="C42" t="s">
        <v>3367</v>
      </c>
      <c r="D42" t="s">
        <v>3248</v>
      </c>
      <c r="E42" t="s">
        <v>1612</v>
      </c>
      <c r="F42" t="s">
        <v>1658</v>
      </c>
      <c r="G42" t="s">
        <v>1938</v>
      </c>
    </row>
    <row r="43" spans="1:7" x14ac:dyDescent="0.3">
      <c r="A43" t="s">
        <v>1613</v>
      </c>
      <c r="B43" t="s">
        <v>1940</v>
      </c>
      <c r="C43" t="s">
        <v>3367</v>
      </c>
      <c r="D43" t="s">
        <v>3249</v>
      </c>
      <c r="E43" t="s">
        <v>1613</v>
      </c>
      <c r="F43" t="s">
        <v>1658</v>
      </c>
      <c r="G43" t="s">
        <v>1942</v>
      </c>
    </row>
    <row r="44" spans="1:7" x14ac:dyDescent="0.3">
      <c r="A44" t="s">
        <v>2663</v>
      </c>
      <c r="B44" t="s">
        <v>1944</v>
      </c>
      <c r="C44" t="s">
        <v>3367</v>
      </c>
      <c r="D44" t="s">
        <v>3250</v>
      </c>
      <c r="E44" t="s">
        <v>2663</v>
      </c>
      <c r="F44" t="s">
        <v>1658</v>
      </c>
      <c r="G44" t="s">
        <v>1946</v>
      </c>
    </row>
    <row r="45" spans="1:7" x14ac:dyDescent="0.3">
      <c r="A45" t="s">
        <v>1615</v>
      </c>
      <c r="B45" t="s">
        <v>1948</v>
      </c>
      <c r="C45" t="s">
        <v>3367</v>
      </c>
      <c r="D45" t="s">
        <v>3251</v>
      </c>
      <c r="E45" t="s">
        <v>1615</v>
      </c>
      <c r="F45" t="s">
        <v>1658</v>
      </c>
      <c r="G45" t="s">
        <v>1950</v>
      </c>
    </row>
    <row r="46" spans="1:7" x14ac:dyDescent="0.3">
      <c r="A46" t="s">
        <v>1615</v>
      </c>
      <c r="B46" t="s">
        <v>1952</v>
      </c>
      <c r="C46" t="s">
        <v>3367</v>
      </c>
      <c r="D46" t="s">
        <v>3252</v>
      </c>
      <c r="E46" t="s">
        <v>1615</v>
      </c>
      <c r="F46" t="s">
        <v>1658</v>
      </c>
      <c r="G46" t="s">
        <v>1954</v>
      </c>
    </row>
    <row r="47" spans="1:7" x14ac:dyDescent="0.3">
      <c r="A47" t="s">
        <v>1620</v>
      </c>
      <c r="B47" t="s">
        <v>1956</v>
      </c>
      <c r="C47" t="s">
        <v>3367</v>
      </c>
      <c r="D47" t="s">
        <v>3253</v>
      </c>
      <c r="E47" t="s">
        <v>1620</v>
      </c>
      <c r="F47" t="s">
        <v>1658</v>
      </c>
      <c r="G47" t="s">
        <v>1958</v>
      </c>
    </row>
    <row r="48" spans="1:7" x14ac:dyDescent="0.3">
      <c r="A48" t="s">
        <v>2660</v>
      </c>
      <c r="B48" t="s">
        <v>1960</v>
      </c>
      <c r="C48" t="s">
        <v>3367</v>
      </c>
      <c r="D48" t="s">
        <v>3254</v>
      </c>
      <c r="E48" t="s">
        <v>2660</v>
      </c>
      <c r="F48" t="s">
        <v>1658</v>
      </c>
      <c r="G48" t="s">
        <v>1962</v>
      </c>
    </row>
    <row r="49" spans="1:7" x14ac:dyDescent="0.3">
      <c r="A49" t="s">
        <v>2664</v>
      </c>
      <c r="B49" t="s">
        <v>1964</v>
      </c>
      <c r="C49" t="s">
        <v>3367</v>
      </c>
      <c r="D49" t="s">
        <v>3255</v>
      </c>
      <c r="E49" t="s">
        <v>2664</v>
      </c>
      <c r="F49" t="s">
        <v>1658</v>
      </c>
      <c r="G49" t="s">
        <v>1966</v>
      </c>
    </row>
    <row r="50" spans="1:7" x14ac:dyDescent="0.3">
      <c r="A50" t="s">
        <v>2665</v>
      </c>
      <c r="B50" t="s">
        <v>1968</v>
      </c>
      <c r="C50" t="s">
        <v>3367</v>
      </c>
      <c r="D50" t="s">
        <v>3256</v>
      </c>
      <c r="E50" t="s">
        <v>2665</v>
      </c>
      <c r="F50" t="s">
        <v>1658</v>
      </c>
      <c r="G50" t="s">
        <v>1970</v>
      </c>
    </row>
    <row r="51" spans="1:7" x14ac:dyDescent="0.3">
      <c r="A51" t="s">
        <v>1614</v>
      </c>
      <c r="B51" t="s">
        <v>1972</v>
      </c>
      <c r="C51" t="s">
        <v>3367</v>
      </c>
      <c r="D51" t="s">
        <v>3257</v>
      </c>
      <c r="E51" t="s">
        <v>1614</v>
      </c>
      <c r="F51" t="s">
        <v>1658</v>
      </c>
      <c r="G51" t="s">
        <v>1974</v>
      </c>
    </row>
    <row r="52" spans="1:7" x14ac:dyDescent="0.3">
      <c r="A52" t="s">
        <v>2666</v>
      </c>
      <c r="B52" t="s">
        <v>1976</v>
      </c>
      <c r="C52" t="s">
        <v>3367</v>
      </c>
      <c r="D52" t="s">
        <v>3258</v>
      </c>
      <c r="E52" t="s">
        <v>2666</v>
      </c>
      <c r="F52" t="s">
        <v>1658</v>
      </c>
      <c r="G52" t="s">
        <v>1978</v>
      </c>
    </row>
    <row r="53" spans="1:7" x14ac:dyDescent="0.3">
      <c r="A53" t="s">
        <v>1610</v>
      </c>
      <c r="B53" t="s">
        <v>1980</v>
      </c>
      <c r="C53" t="s">
        <v>3367</v>
      </c>
      <c r="D53" t="s">
        <v>3259</v>
      </c>
      <c r="E53" t="s">
        <v>1610</v>
      </c>
      <c r="F53" t="s">
        <v>1658</v>
      </c>
      <c r="G53" t="s">
        <v>1982</v>
      </c>
    </row>
    <row r="54" spans="1:7" x14ac:dyDescent="0.3">
      <c r="A54" t="s">
        <v>1610</v>
      </c>
      <c r="B54" t="s">
        <v>1984</v>
      </c>
      <c r="C54" t="s">
        <v>3367</v>
      </c>
      <c r="D54" t="s">
        <v>3260</v>
      </c>
      <c r="E54" t="s">
        <v>1610</v>
      </c>
      <c r="F54" t="s">
        <v>1658</v>
      </c>
      <c r="G54" t="s">
        <v>1986</v>
      </c>
    </row>
    <row r="55" spans="1:7" x14ac:dyDescent="0.3">
      <c r="A55" t="s">
        <v>1610</v>
      </c>
      <c r="B55" t="s">
        <v>1988</v>
      </c>
      <c r="C55" t="s">
        <v>3367</v>
      </c>
      <c r="D55" t="s">
        <v>3261</v>
      </c>
      <c r="E55" t="s">
        <v>1610</v>
      </c>
      <c r="F55" t="s">
        <v>1658</v>
      </c>
      <c r="G55" t="s">
        <v>1990</v>
      </c>
    </row>
    <row r="56" spans="1:7" x14ac:dyDescent="0.3">
      <c r="A56" t="s">
        <v>1610</v>
      </c>
      <c r="B56" t="s">
        <v>1992</v>
      </c>
      <c r="C56" t="s">
        <v>3367</v>
      </c>
      <c r="D56" t="s">
        <v>3262</v>
      </c>
      <c r="E56" t="s">
        <v>1610</v>
      </c>
      <c r="F56" t="s">
        <v>1658</v>
      </c>
      <c r="G56" t="s">
        <v>1994</v>
      </c>
    </row>
    <row r="57" spans="1:7" x14ac:dyDescent="0.3">
      <c r="A57" t="s">
        <v>1611</v>
      </c>
      <c r="B57" t="s">
        <v>1996</v>
      </c>
      <c r="C57" t="s">
        <v>3367</v>
      </c>
      <c r="D57" t="s">
        <v>3263</v>
      </c>
      <c r="E57" t="s">
        <v>1611</v>
      </c>
      <c r="F57" t="s">
        <v>1658</v>
      </c>
      <c r="G57" t="s">
        <v>1998</v>
      </c>
    </row>
    <row r="58" spans="1:7" x14ac:dyDescent="0.3">
      <c r="A58" t="s">
        <v>1611</v>
      </c>
      <c r="B58" t="s">
        <v>2000</v>
      </c>
      <c r="C58" t="s">
        <v>3367</v>
      </c>
      <c r="D58" t="s">
        <v>3264</v>
      </c>
      <c r="E58" t="s">
        <v>1611</v>
      </c>
      <c r="F58" t="s">
        <v>1658</v>
      </c>
      <c r="G58" t="s">
        <v>2002</v>
      </c>
    </row>
    <row r="59" spans="1:7" x14ac:dyDescent="0.3">
      <c r="A59" t="s">
        <v>1612</v>
      </c>
      <c r="B59" t="s">
        <v>2004</v>
      </c>
      <c r="C59" t="s">
        <v>3367</v>
      </c>
      <c r="D59" t="s">
        <v>3265</v>
      </c>
      <c r="E59" t="s">
        <v>1612</v>
      </c>
      <c r="F59" t="s">
        <v>1658</v>
      </c>
      <c r="G59" t="s">
        <v>2006</v>
      </c>
    </row>
    <row r="60" spans="1:7" x14ac:dyDescent="0.3">
      <c r="A60" t="s">
        <v>1613</v>
      </c>
      <c r="B60" t="s">
        <v>2008</v>
      </c>
      <c r="C60" t="s">
        <v>3367</v>
      </c>
      <c r="D60" t="s">
        <v>3266</v>
      </c>
      <c r="E60" t="s">
        <v>1613</v>
      </c>
      <c r="F60" t="s">
        <v>1658</v>
      </c>
      <c r="G60" t="s">
        <v>2010</v>
      </c>
    </row>
    <row r="61" spans="1:7" x14ac:dyDescent="0.3">
      <c r="A61" t="s">
        <v>1614</v>
      </c>
      <c r="B61" t="s">
        <v>2012</v>
      </c>
      <c r="C61" t="s">
        <v>3367</v>
      </c>
      <c r="D61" t="s">
        <v>3267</v>
      </c>
      <c r="E61" t="s">
        <v>1614</v>
      </c>
      <c r="F61" t="s">
        <v>1658</v>
      </c>
      <c r="G61" t="s">
        <v>2014</v>
      </c>
    </row>
    <row r="62" spans="1:7" x14ac:dyDescent="0.3">
      <c r="A62" t="s">
        <v>1612</v>
      </c>
      <c r="B62" t="s">
        <v>2016</v>
      </c>
      <c r="C62" t="s">
        <v>3367</v>
      </c>
      <c r="D62" t="s">
        <v>3268</v>
      </c>
      <c r="E62" t="s">
        <v>1612</v>
      </c>
      <c r="F62" t="s">
        <v>1659</v>
      </c>
      <c r="G62" t="s">
        <v>2018</v>
      </c>
    </row>
    <row r="63" spans="1:7" x14ac:dyDescent="0.3">
      <c r="A63" t="s">
        <v>1612</v>
      </c>
      <c r="B63" t="s">
        <v>2020</v>
      </c>
      <c r="C63" t="s">
        <v>3367</v>
      </c>
      <c r="D63" t="s">
        <v>3269</v>
      </c>
      <c r="E63" t="s">
        <v>1612</v>
      </c>
      <c r="F63" t="s">
        <v>1659</v>
      </c>
      <c r="G63" t="s">
        <v>2022</v>
      </c>
    </row>
    <row r="64" spans="1:7" x14ac:dyDescent="0.3">
      <c r="A64" t="s">
        <v>1613</v>
      </c>
      <c r="B64" t="s">
        <v>2024</v>
      </c>
      <c r="C64" t="s">
        <v>3367</v>
      </c>
      <c r="D64" t="s">
        <v>3270</v>
      </c>
      <c r="E64" t="s">
        <v>1613</v>
      </c>
      <c r="F64" t="s">
        <v>1659</v>
      </c>
      <c r="G64" t="s">
        <v>2026</v>
      </c>
    </row>
    <row r="65" spans="1:7" x14ac:dyDescent="0.3">
      <c r="A65" t="s">
        <v>1613</v>
      </c>
      <c r="B65" t="s">
        <v>2028</v>
      </c>
      <c r="C65" t="s">
        <v>3367</v>
      </c>
      <c r="D65" t="s">
        <v>3271</v>
      </c>
      <c r="E65" t="s">
        <v>1613</v>
      </c>
      <c r="F65" t="s">
        <v>1659</v>
      </c>
      <c r="G65" t="s">
        <v>2030</v>
      </c>
    </row>
    <row r="66" spans="1:7" x14ac:dyDescent="0.3">
      <c r="A66" t="s">
        <v>1614</v>
      </c>
      <c r="B66" t="s">
        <v>2032</v>
      </c>
      <c r="C66" t="s">
        <v>3367</v>
      </c>
      <c r="D66" t="s">
        <v>3272</v>
      </c>
      <c r="E66" t="s">
        <v>1614</v>
      </c>
      <c r="F66" t="s">
        <v>1659</v>
      </c>
      <c r="G66" t="s">
        <v>2034</v>
      </c>
    </row>
    <row r="67" spans="1:7" x14ac:dyDescent="0.3">
      <c r="A67" t="s">
        <v>1614</v>
      </c>
      <c r="B67" t="s">
        <v>2036</v>
      </c>
      <c r="C67" t="s">
        <v>3367</v>
      </c>
      <c r="D67" t="s">
        <v>3273</v>
      </c>
      <c r="E67" t="s">
        <v>1614</v>
      </c>
      <c r="F67" t="s">
        <v>1659</v>
      </c>
      <c r="G67" t="s">
        <v>2038</v>
      </c>
    </row>
    <row r="68" spans="1:7" x14ac:dyDescent="0.3">
      <c r="A68" t="s">
        <v>1611</v>
      </c>
      <c r="B68" t="s">
        <v>2040</v>
      </c>
      <c r="C68" t="s">
        <v>3367</v>
      </c>
      <c r="D68" t="s">
        <v>3274</v>
      </c>
      <c r="E68" t="s">
        <v>1611</v>
      </c>
      <c r="F68" t="s">
        <v>1659</v>
      </c>
      <c r="G68" t="s">
        <v>2042</v>
      </c>
    </row>
    <row r="69" spans="1:7" x14ac:dyDescent="0.3">
      <c r="A69" t="s">
        <v>1611</v>
      </c>
      <c r="B69" t="s">
        <v>2044</v>
      </c>
      <c r="C69" t="s">
        <v>3367</v>
      </c>
      <c r="D69" t="s">
        <v>3275</v>
      </c>
      <c r="E69" t="s">
        <v>1611</v>
      </c>
      <c r="F69" t="s">
        <v>1659</v>
      </c>
      <c r="G69" t="s">
        <v>2046</v>
      </c>
    </row>
    <row r="70" spans="1:7" x14ac:dyDescent="0.3">
      <c r="A70" t="s">
        <v>1610</v>
      </c>
      <c r="B70" t="s">
        <v>2048</v>
      </c>
      <c r="C70" t="s">
        <v>3367</v>
      </c>
      <c r="D70" t="s">
        <v>3276</v>
      </c>
      <c r="E70" t="s">
        <v>1610</v>
      </c>
      <c r="F70" t="s">
        <v>1660</v>
      </c>
      <c r="G70" t="s">
        <v>2050</v>
      </c>
    </row>
    <row r="71" spans="1:7" x14ac:dyDescent="0.3">
      <c r="A71" t="s">
        <v>1610</v>
      </c>
      <c r="B71" t="s">
        <v>2052</v>
      </c>
      <c r="C71" t="s">
        <v>3367</v>
      </c>
      <c r="D71" t="s">
        <v>3277</v>
      </c>
      <c r="E71" t="s">
        <v>1610</v>
      </c>
      <c r="F71" t="s">
        <v>1660</v>
      </c>
      <c r="G71" t="s">
        <v>2054</v>
      </c>
    </row>
    <row r="72" spans="1:7" x14ac:dyDescent="0.3">
      <c r="A72" t="s">
        <v>1610</v>
      </c>
      <c r="B72" t="s">
        <v>2056</v>
      </c>
      <c r="C72" t="s">
        <v>3367</v>
      </c>
      <c r="D72" t="s">
        <v>3278</v>
      </c>
      <c r="E72" t="s">
        <v>1610</v>
      </c>
      <c r="F72" t="s">
        <v>1660</v>
      </c>
      <c r="G72" t="s">
        <v>2058</v>
      </c>
    </row>
    <row r="73" spans="1:7" x14ac:dyDescent="0.3">
      <c r="A73" t="s">
        <v>1610</v>
      </c>
      <c r="B73" t="s">
        <v>2060</v>
      </c>
      <c r="C73" t="s">
        <v>3367</v>
      </c>
      <c r="D73" t="s">
        <v>3279</v>
      </c>
      <c r="E73" t="s">
        <v>1610</v>
      </c>
      <c r="F73" t="s">
        <v>1660</v>
      </c>
      <c r="G73" t="s">
        <v>2062</v>
      </c>
    </row>
    <row r="74" spans="1:7" x14ac:dyDescent="0.3">
      <c r="A74" t="s">
        <v>1611</v>
      </c>
      <c r="B74" t="s">
        <v>2064</v>
      </c>
      <c r="C74" t="s">
        <v>3367</v>
      </c>
      <c r="D74" t="s">
        <v>3280</v>
      </c>
      <c r="E74" t="s">
        <v>1611</v>
      </c>
      <c r="F74" t="s">
        <v>1660</v>
      </c>
      <c r="G74" t="s">
        <v>2066</v>
      </c>
    </row>
    <row r="75" spans="1:7" x14ac:dyDescent="0.3">
      <c r="A75" t="s">
        <v>1611</v>
      </c>
      <c r="B75" t="s">
        <v>2068</v>
      </c>
      <c r="C75" t="s">
        <v>3367</v>
      </c>
      <c r="D75" t="s">
        <v>3281</v>
      </c>
      <c r="E75" t="s">
        <v>1611</v>
      </c>
      <c r="F75" t="s">
        <v>1660</v>
      </c>
      <c r="G75" t="s">
        <v>2070</v>
      </c>
    </row>
    <row r="76" spans="1:7" x14ac:dyDescent="0.3">
      <c r="A76" t="s">
        <v>1611</v>
      </c>
      <c r="B76" t="s">
        <v>2072</v>
      </c>
      <c r="C76" t="s">
        <v>3367</v>
      </c>
      <c r="D76" t="s">
        <v>3282</v>
      </c>
      <c r="E76" t="s">
        <v>1611</v>
      </c>
      <c r="F76" t="s">
        <v>1660</v>
      </c>
      <c r="G76" t="s">
        <v>2074</v>
      </c>
    </row>
    <row r="77" spans="1:7" x14ac:dyDescent="0.3">
      <c r="A77" t="s">
        <v>1611</v>
      </c>
      <c r="B77" t="s">
        <v>2076</v>
      </c>
      <c r="C77" t="s">
        <v>3367</v>
      </c>
      <c r="D77" t="s">
        <v>3283</v>
      </c>
      <c r="E77" t="s">
        <v>1611</v>
      </c>
      <c r="F77" t="s">
        <v>1660</v>
      </c>
      <c r="G77" t="s">
        <v>2078</v>
      </c>
    </row>
    <row r="78" spans="1:7" x14ac:dyDescent="0.3">
      <c r="A78" t="s">
        <v>2661</v>
      </c>
      <c r="B78" t="s">
        <v>2080</v>
      </c>
      <c r="C78" t="s">
        <v>3367</v>
      </c>
      <c r="D78" t="s">
        <v>3284</v>
      </c>
      <c r="E78" t="s">
        <v>2661</v>
      </c>
      <c r="F78" t="s">
        <v>1660</v>
      </c>
      <c r="G78" t="s">
        <v>2082</v>
      </c>
    </row>
    <row r="79" spans="1:7" x14ac:dyDescent="0.3">
      <c r="A79" t="s">
        <v>2662</v>
      </c>
      <c r="B79" t="s">
        <v>2084</v>
      </c>
      <c r="C79" t="s">
        <v>3367</v>
      </c>
      <c r="D79" t="s">
        <v>3285</v>
      </c>
      <c r="E79" t="s">
        <v>2662</v>
      </c>
      <c r="F79" t="s">
        <v>1660</v>
      </c>
      <c r="G79" t="s">
        <v>2086</v>
      </c>
    </row>
    <row r="80" spans="1:7" x14ac:dyDescent="0.3">
      <c r="A80" t="s">
        <v>1612</v>
      </c>
      <c r="B80" t="s">
        <v>2088</v>
      </c>
      <c r="C80" t="s">
        <v>3367</v>
      </c>
      <c r="D80" t="s">
        <v>3286</v>
      </c>
      <c r="E80" t="s">
        <v>1612</v>
      </c>
      <c r="F80" t="s">
        <v>1660</v>
      </c>
      <c r="G80" t="s">
        <v>2090</v>
      </c>
    </row>
    <row r="81" spans="1:7" x14ac:dyDescent="0.3">
      <c r="A81" t="s">
        <v>1613</v>
      </c>
      <c r="B81" t="s">
        <v>2092</v>
      </c>
      <c r="C81" t="s">
        <v>3367</v>
      </c>
      <c r="D81" t="s">
        <v>3287</v>
      </c>
      <c r="E81" t="s">
        <v>1613</v>
      </c>
      <c r="F81" t="s">
        <v>1660</v>
      </c>
      <c r="G81" t="s">
        <v>2094</v>
      </c>
    </row>
    <row r="82" spans="1:7" x14ac:dyDescent="0.3">
      <c r="A82" t="s">
        <v>2663</v>
      </c>
      <c r="B82" t="s">
        <v>2096</v>
      </c>
      <c r="C82" t="s">
        <v>3367</v>
      </c>
      <c r="D82" t="s">
        <v>3288</v>
      </c>
      <c r="E82" t="s">
        <v>2663</v>
      </c>
      <c r="F82" t="s">
        <v>1660</v>
      </c>
      <c r="G82" t="s">
        <v>2098</v>
      </c>
    </row>
    <row r="83" spans="1:7" x14ac:dyDescent="0.3">
      <c r="A83" t="s">
        <v>1615</v>
      </c>
      <c r="B83" t="s">
        <v>2100</v>
      </c>
      <c r="C83" t="s">
        <v>3367</v>
      </c>
      <c r="D83" t="s">
        <v>3289</v>
      </c>
      <c r="E83" t="s">
        <v>1615</v>
      </c>
      <c r="F83" t="s">
        <v>1660</v>
      </c>
      <c r="G83" t="s">
        <v>2102</v>
      </c>
    </row>
    <row r="84" spans="1:7" x14ac:dyDescent="0.3">
      <c r="A84" t="s">
        <v>1616</v>
      </c>
      <c r="B84" t="s">
        <v>2104</v>
      </c>
      <c r="C84" t="s">
        <v>3367</v>
      </c>
      <c r="D84" t="s">
        <v>3290</v>
      </c>
      <c r="E84" t="s">
        <v>1616</v>
      </c>
      <c r="F84" t="s">
        <v>1660</v>
      </c>
      <c r="G84" t="s">
        <v>2106</v>
      </c>
    </row>
    <row r="85" spans="1:7" x14ac:dyDescent="0.3">
      <c r="A85" t="s">
        <v>1617</v>
      </c>
      <c r="B85" t="s">
        <v>2108</v>
      </c>
      <c r="C85" t="s">
        <v>3367</v>
      </c>
      <c r="D85" t="s">
        <v>3291</v>
      </c>
      <c r="E85" t="s">
        <v>1617</v>
      </c>
      <c r="F85" t="s">
        <v>1660</v>
      </c>
      <c r="G85" t="s">
        <v>2110</v>
      </c>
    </row>
    <row r="86" spans="1:7" x14ac:dyDescent="0.3">
      <c r="A86" t="s">
        <v>1618</v>
      </c>
      <c r="B86" t="s">
        <v>2112</v>
      </c>
      <c r="C86" t="s">
        <v>3367</v>
      </c>
      <c r="D86" t="s">
        <v>3292</v>
      </c>
      <c r="E86" t="s">
        <v>1618</v>
      </c>
      <c r="F86" t="s">
        <v>1660</v>
      </c>
      <c r="G86" t="s">
        <v>2114</v>
      </c>
    </row>
    <row r="87" spans="1:7" x14ac:dyDescent="0.3">
      <c r="A87" t="s">
        <v>1619</v>
      </c>
      <c r="B87" t="s">
        <v>2116</v>
      </c>
      <c r="C87" t="s">
        <v>3367</v>
      </c>
      <c r="D87" t="s">
        <v>3293</v>
      </c>
      <c r="E87" t="s">
        <v>1619</v>
      </c>
      <c r="F87" t="s">
        <v>1660</v>
      </c>
      <c r="G87" t="s">
        <v>2118</v>
      </c>
    </row>
    <row r="88" spans="1:7" x14ac:dyDescent="0.3">
      <c r="A88" t="s">
        <v>1620</v>
      </c>
      <c r="B88" t="s">
        <v>2120</v>
      </c>
      <c r="C88" t="s">
        <v>3367</v>
      </c>
      <c r="D88" t="s">
        <v>3294</v>
      </c>
      <c r="E88" t="s">
        <v>1620</v>
      </c>
      <c r="F88" t="s">
        <v>1660</v>
      </c>
      <c r="G88" t="s">
        <v>2122</v>
      </c>
    </row>
    <row r="89" spans="1:7" x14ac:dyDescent="0.3">
      <c r="A89" t="s">
        <v>2664</v>
      </c>
      <c r="B89" t="s">
        <v>2124</v>
      </c>
      <c r="C89" t="s">
        <v>3367</v>
      </c>
      <c r="D89" t="s">
        <v>3295</v>
      </c>
      <c r="E89" t="s">
        <v>2664</v>
      </c>
      <c r="F89" t="s">
        <v>1660</v>
      </c>
      <c r="G89" t="s">
        <v>2126</v>
      </c>
    </row>
    <row r="90" spans="1:7" x14ac:dyDescent="0.3">
      <c r="A90" t="s">
        <v>2665</v>
      </c>
      <c r="B90" t="s">
        <v>2128</v>
      </c>
      <c r="C90" t="s">
        <v>3367</v>
      </c>
      <c r="D90" t="s">
        <v>3296</v>
      </c>
      <c r="E90" t="s">
        <v>2665</v>
      </c>
      <c r="F90" t="s">
        <v>1660</v>
      </c>
      <c r="G90" t="s">
        <v>2130</v>
      </c>
    </row>
    <row r="91" spans="1:7" x14ac:dyDescent="0.3">
      <c r="A91" t="s">
        <v>1614</v>
      </c>
      <c r="B91" t="s">
        <v>2132</v>
      </c>
      <c r="C91" t="s">
        <v>3367</v>
      </c>
      <c r="D91" t="s">
        <v>3297</v>
      </c>
      <c r="E91" t="s">
        <v>1614</v>
      </c>
      <c r="F91" t="s">
        <v>1660</v>
      </c>
      <c r="G91" t="s">
        <v>2134</v>
      </c>
    </row>
    <row r="92" spans="1:7" x14ac:dyDescent="0.3">
      <c r="A92" t="s">
        <v>2666</v>
      </c>
      <c r="B92" t="s">
        <v>2136</v>
      </c>
      <c r="C92" t="s">
        <v>3367</v>
      </c>
      <c r="D92" t="s">
        <v>3298</v>
      </c>
      <c r="E92" t="s">
        <v>2666</v>
      </c>
      <c r="F92" t="s">
        <v>1660</v>
      </c>
      <c r="G92" t="s">
        <v>2138</v>
      </c>
    </row>
    <row r="93" spans="1:7" x14ac:dyDescent="0.3">
      <c r="A93" t="s">
        <v>2661</v>
      </c>
      <c r="B93" t="s">
        <v>2140</v>
      </c>
      <c r="C93" t="s">
        <v>3367</v>
      </c>
      <c r="D93" t="s">
        <v>3299</v>
      </c>
      <c r="E93" t="s">
        <v>2661</v>
      </c>
      <c r="F93" t="s">
        <v>1660</v>
      </c>
      <c r="G93" t="s">
        <v>2142</v>
      </c>
    </row>
    <row r="94" spans="1:7" x14ac:dyDescent="0.3">
      <c r="A94" t="s">
        <v>2662</v>
      </c>
      <c r="B94" t="s">
        <v>2144</v>
      </c>
      <c r="C94" t="s">
        <v>3367</v>
      </c>
      <c r="D94" t="s">
        <v>3300</v>
      </c>
      <c r="E94" t="s">
        <v>2662</v>
      </c>
      <c r="F94" t="s">
        <v>1660</v>
      </c>
      <c r="G94" t="s">
        <v>2146</v>
      </c>
    </row>
    <row r="95" spans="1:7" x14ac:dyDescent="0.3">
      <c r="A95" t="s">
        <v>1612</v>
      </c>
      <c r="B95" t="s">
        <v>2148</v>
      </c>
      <c r="C95" t="s">
        <v>3367</v>
      </c>
      <c r="D95" t="s">
        <v>3301</v>
      </c>
      <c r="E95" t="s">
        <v>1612</v>
      </c>
      <c r="F95" t="s">
        <v>1660</v>
      </c>
      <c r="G95" t="s">
        <v>2150</v>
      </c>
    </row>
    <row r="96" spans="1:7" x14ac:dyDescent="0.3">
      <c r="A96" t="s">
        <v>1613</v>
      </c>
      <c r="B96" t="s">
        <v>2152</v>
      </c>
      <c r="C96" t="s">
        <v>3367</v>
      </c>
      <c r="D96" t="s">
        <v>3302</v>
      </c>
      <c r="E96" t="s">
        <v>1613</v>
      </c>
      <c r="F96" t="s">
        <v>1660</v>
      </c>
      <c r="G96" t="s">
        <v>2154</v>
      </c>
    </row>
    <row r="97" spans="1:7" x14ac:dyDescent="0.3">
      <c r="A97" t="s">
        <v>2663</v>
      </c>
      <c r="B97" t="s">
        <v>2156</v>
      </c>
      <c r="C97" t="s">
        <v>3367</v>
      </c>
      <c r="D97" t="s">
        <v>3303</v>
      </c>
      <c r="E97" t="s">
        <v>2663</v>
      </c>
      <c r="F97" t="s">
        <v>1660</v>
      </c>
      <c r="G97" t="s">
        <v>2158</v>
      </c>
    </row>
    <row r="98" spans="1:7" x14ac:dyDescent="0.3">
      <c r="A98" t="s">
        <v>1615</v>
      </c>
      <c r="B98" t="s">
        <v>2160</v>
      </c>
      <c r="C98" t="s">
        <v>3367</v>
      </c>
      <c r="D98" t="s">
        <v>3304</v>
      </c>
      <c r="E98" t="s">
        <v>1615</v>
      </c>
      <c r="F98" t="s">
        <v>1660</v>
      </c>
      <c r="G98" t="s">
        <v>2162</v>
      </c>
    </row>
    <row r="99" spans="1:7" x14ac:dyDescent="0.3">
      <c r="A99" t="s">
        <v>1616</v>
      </c>
      <c r="B99" t="s">
        <v>2164</v>
      </c>
      <c r="C99" t="s">
        <v>3367</v>
      </c>
      <c r="D99" t="s">
        <v>3305</v>
      </c>
      <c r="E99" t="s">
        <v>1616</v>
      </c>
      <c r="F99" t="s">
        <v>1660</v>
      </c>
      <c r="G99" t="s">
        <v>2166</v>
      </c>
    </row>
    <row r="100" spans="1:7" x14ac:dyDescent="0.3">
      <c r="A100" t="s">
        <v>1617</v>
      </c>
      <c r="B100" t="s">
        <v>2168</v>
      </c>
      <c r="C100" t="s">
        <v>3367</v>
      </c>
      <c r="D100" t="s">
        <v>3306</v>
      </c>
      <c r="E100" t="s">
        <v>1617</v>
      </c>
      <c r="F100" t="s">
        <v>1660</v>
      </c>
      <c r="G100" t="s">
        <v>2170</v>
      </c>
    </row>
    <row r="101" spans="1:7" x14ac:dyDescent="0.3">
      <c r="A101" t="s">
        <v>1618</v>
      </c>
      <c r="B101" t="s">
        <v>2172</v>
      </c>
      <c r="C101" t="s">
        <v>3367</v>
      </c>
      <c r="D101" t="s">
        <v>3307</v>
      </c>
      <c r="E101" t="s">
        <v>1618</v>
      </c>
      <c r="F101" t="s">
        <v>1660</v>
      </c>
      <c r="G101" t="s">
        <v>2174</v>
      </c>
    </row>
    <row r="102" spans="1:7" x14ac:dyDescent="0.3">
      <c r="A102" t="s">
        <v>1619</v>
      </c>
      <c r="B102" t="s">
        <v>2176</v>
      </c>
      <c r="C102" t="s">
        <v>3367</v>
      </c>
      <c r="D102" t="s">
        <v>3308</v>
      </c>
      <c r="E102" t="s">
        <v>1619</v>
      </c>
      <c r="F102" t="s">
        <v>1660</v>
      </c>
      <c r="G102" t="s">
        <v>2178</v>
      </c>
    </row>
    <row r="103" spans="1:7" x14ac:dyDescent="0.3">
      <c r="A103" t="s">
        <v>1620</v>
      </c>
      <c r="B103" t="s">
        <v>2180</v>
      </c>
      <c r="C103" t="s">
        <v>3367</v>
      </c>
      <c r="D103" t="s">
        <v>3309</v>
      </c>
      <c r="E103" t="s">
        <v>1620</v>
      </c>
      <c r="F103" t="s">
        <v>1660</v>
      </c>
      <c r="G103" t="s">
        <v>2182</v>
      </c>
    </row>
    <row r="104" spans="1:7" x14ac:dyDescent="0.3">
      <c r="A104" t="s">
        <v>2664</v>
      </c>
      <c r="B104" t="s">
        <v>2184</v>
      </c>
      <c r="C104" t="s">
        <v>3367</v>
      </c>
      <c r="D104" t="s">
        <v>3310</v>
      </c>
      <c r="E104" t="s">
        <v>2664</v>
      </c>
      <c r="F104" t="s">
        <v>1660</v>
      </c>
      <c r="G104" t="s">
        <v>2186</v>
      </c>
    </row>
    <row r="105" spans="1:7" x14ac:dyDescent="0.3">
      <c r="A105" t="s">
        <v>2665</v>
      </c>
      <c r="B105" t="s">
        <v>2188</v>
      </c>
      <c r="C105" t="s">
        <v>3367</v>
      </c>
      <c r="D105" t="s">
        <v>3311</v>
      </c>
      <c r="E105" t="s">
        <v>2665</v>
      </c>
      <c r="F105" t="s">
        <v>1660</v>
      </c>
      <c r="G105" t="s">
        <v>2190</v>
      </c>
    </row>
    <row r="106" spans="1:7" x14ac:dyDescent="0.3">
      <c r="A106" t="s">
        <v>1614</v>
      </c>
      <c r="B106" t="s">
        <v>2192</v>
      </c>
      <c r="C106" t="s">
        <v>3367</v>
      </c>
      <c r="D106" t="s">
        <v>3312</v>
      </c>
      <c r="E106" t="s">
        <v>1614</v>
      </c>
      <c r="F106" t="s">
        <v>1660</v>
      </c>
      <c r="G106" t="s">
        <v>2194</v>
      </c>
    </row>
    <row r="107" spans="1:7" x14ac:dyDescent="0.3">
      <c r="A107" t="s">
        <v>2666</v>
      </c>
      <c r="B107" t="s">
        <v>2196</v>
      </c>
      <c r="C107" t="s">
        <v>3367</v>
      </c>
      <c r="D107" t="s">
        <v>3313</v>
      </c>
      <c r="E107" t="s">
        <v>2666</v>
      </c>
      <c r="F107" t="s">
        <v>1660</v>
      </c>
      <c r="G107" t="s">
        <v>2198</v>
      </c>
    </row>
    <row r="108" spans="1:7" x14ac:dyDescent="0.3">
      <c r="A108" t="s">
        <v>1610</v>
      </c>
      <c r="B108" t="s">
        <v>2200</v>
      </c>
      <c r="C108" t="s">
        <v>3367</v>
      </c>
      <c r="D108" t="s">
        <v>3314</v>
      </c>
      <c r="E108" t="s">
        <v>1610</v>
      </c>
      <c r="F108" t="s">
        <v>1660</v>
      </c>
      <c r="G108" t="s">
        <v>2202</v>
      </c>
    </row>
    <row r="109" spans="1:7" x14ac:dyDescent="0.3">
      <c r="A109" t="s">
        <v>1611</v>
      </c>
      <c r="B109" t="s">
        <v>2204</v>
      </c>
      <c r="C109" t="s">
        <v>3367</v>
      </c>
      <c r="D109" t="s">
        <v>3315</v>
      </c>
      <c r="E109" t="s">
        <v>1611</v>
      </c>
      <c r="F109" t="s">
        <v>1660</v>
      </c>
      <c r="G109" t="s">
        <v>2206</v>
      </c>
    </row>
    <row r="110" spans="1:7" x14ac:dyDescent="0.3">
      <c r="A110" t="s">
        <v>1610</v>
      </c>
      <c r="B110" t="s">
        <v>2208</v>
      </c>
      <c r="C110" t="s">
        <v>3367</v>
      </c>
      <c r="D110" t="s">
        <v>3316</v>
      </c>
      <c r="E110" t="s">
        <v>1610</v>
      </c>
      <c r="F110" t="s">
        <v>1660</v>
      </c>
      <c r="G110" t="s">
        <v>2210</v>
      </c>
    </row>
    <row r="111" spans="1:7" x14ac:dyDescent="0.3">
      <c r="A111" t="s">
        <v>1610</v>
      </c>
      <c r="B111" t="s">
        <v>2212</v>
      </c>
      <c r="C111" t="s">
        <v>3367</v>
      </c>
      <c r="D111" t="s">
        <v>3317</v>
      </c>
      <c r="E111" t="s">
        <v>1610</v>
      </c>
      <c r="F111" t="s">
        <v>1660</v>
      </c>
      <c r="G111" t="s">
        <v>2214</v>
      </c>
    </row>
    <row r="112" spans="1:7" x14ac:dyDescent="0.3">
      <c r="A112" t="s">
        <v>1611</v>
      </c>
      <c r="B112" t="s">
        <v>2216</v>
      </c>
      <c r="C112" t="s">
        <v>3367</v>
      </c>
      <c r="D112" t="s">
        <v>3318</v>
      </c>
      <c r="E112" t="s">
        <v>1611</v>
      </c>
      <c r="F112" t="s">
        <v>1660</v>
      </c>
      <c r="G112" t="s">
        <v>2218</v>
      </c>
    </row>
    <row r="113" spans="1:7" x14ac:dyDescent="0.3">
      <c r="A113" t="s">
        <v>1612</v>
      </c>
      <c r="B113" t="s">
        <v>2220</v>
      </c>
      <c r="C113" t="s">
        <v>3367</v>
      </c>
      <c r="D113" t="s">
        <v>3319</v>
      </c>
      <c r="E113" t="s">
        <v>1612</v>
      </c>
      <c r="F113" t="s">
        <v>1660</v>
      </c>
      <c r="G113" t="s">
        <v>2222</v>
      </c>
    </row>
    <row r="114" spans="1:7" x14ac:dyDescent="0.3">
      <c r="A114" t="s">
        <v>1613</v>
      </c>
      <c r="B114" t="s">
        <v>2224</v>
      </c>
      <c r="C114" t="s">
        <v>3367</v>
      </c>
      <c r="D114" t="s">
        <v>3320</v>
      </c>
      <c r="E114" t="s">
        <v>1613</v>
      </c>
      <c r="F114" t="s">
        <v>1660</v>
      </c>
      <c r="G114" t="s">
        <v>2226</v>
      </c>
    </row>
    <row r="115" spans="1:7" x14ac:dyDescent="0.3">
      <c r="A115" t="s">
        <v>1615</v>
      </c>
      <c r="B115" t="s">
        <v>2228</v>
      </c>
      <c r="C115" t="s">
        <v>3367</v>
      </c>
      <c r="D115" t="s">
        <v>3321</v>
      </c>
      <c r="E115" t="s">
        <v>1615</v>
      </c>
      <c r="F115" t="s">
        <v>1660</v>
      </c>
      <c r="G115" t="s">
        <v>2230</v>
      </c>
    </row>
    <row r="116" spans="1:7" x14ac:dyDescent="0.3">
      <c r="A116" t="s">
        <v>1616</v>
      </c>
      <c r="B116" t="s">
        <v>2232</v>
      </c>
      <c r="C116" t="s">
        <v>3367</v>
      </c>
      <c r="D116" t="s">
        <v>3322</v>
      </c>
      <c r="E116" t="s">
        <v>1616</v>
      </c>
      <c r="F116" t="s">
        <v>1660</v>
      </c>
      <c r="G116" t="s">
        <v>2234</v>
      </c>
    </row>
    <row r="117" spans="1:7" x14ac:dyDescent="0.3">
      <c r="A117" t="s">
        <v>1617</v>
      </c>
      <c r="B117" t="s">
        <v>2236</v>
      </c>
      <c r="C117" t="s">
        <v>3367</v>
      </c>
      <c r="D117" t="s">
        <v>3323</v>
      </c>
      <c r="E117" t="s">
        <v>1617</v>
      </c>
      <c r="F117" t="s">
        <v>1660</v>
      </c>
      <c r="G117" t="s">
        <v>2238</v>
      </c>
    </row>
    <row r="118" spans="1:7" x14ac:dyDescent="0.3">
      <c r="A118" t="s">
        <v>1618</v>
      </c>
      <c r="B118" t="s">
        <v>2240</v>
      </c>
      <c r="C118" t="s">
        <v>3367</v>
      </c>
      <c r="D118" t="s">
        <v>3324</v>
      </c>
      <c r="E118" t="s">
        <v>1618</v>
      </c>
      <c r="F118" t="s">
        <v>1660</v>
      </c>
      <c r="G118" t="s">
        <v>2242</v>
      </c>
    </row>
    <row r="119" spans="1:7" x14ac:dyDescent="0.3">
      <c r="A119" t="s">
        <v>1619</v>
      </c>
      <c r="B119" t="s">
        <v>2244</v>
      </c>
      <c r="C119" t="s">
        <v>3367</v>
      </c>
      <c r="D119" t="s">
        <v>3325</v>
      </c>
      <c r="E119" t="s">
        <v>1619</v>
      </c>
      <c r="F119" t="s">
        <v>1660</v>
      </c>
      <c r="G119" t="s">
        <v>2246</v>
      </c>
    </row>
    <row r="120" spans="1:7" x14ac:dyDescent="0.3">
      <c r="A120" t="s">
        <v>1620</v>
      </c>
      <c r="B120" t="s">
        <v>2248</v>
      </c>
      <c r="C120" t="s">
        <v>3367</v>
      </c>
      <c r="D120" t="s">
        <v>3326</v>
      </c>
      <c r="E120" t="s">
        <v>1620</v>
      </c>
      <c r="F120" t="s">
        <v>1660</v>
      </c>
      <c r="G120" t="s">
        <v>2250</v>
      </c>
    </row>
    <row r="121" spans="1:7" x14ac:dyDescent="0.3">
      <c r="A121" t="s">
        <v>1614</v>
      </c>
      <c r="B121" t="s">
        <v>2252</v>
      </c>
      <c r="C121" t="s">
        <v>3367</v>
      </c>
      <c r="D121" t="s">
        <v>3327</v>
      </c>
      <c r="E121" t="s">
        <v>1614</v>
      </c>
      <c r="F121" t="s">
        <v>1660</v>
      </c>
      <c r="G121" t="s">
        <v>2254</v>
      </c>
    </row>
    <row r="122" spans="1:7" x14ac:dyDescent="0.3">
      <c r="A122" t="s">
        <v>1610</v>
      </c>
      <c r="B122" t="s">
        <v>2256</v>
      </c>
      <c r="C122" t="s">
        <v>3367</v>
      </c>
      <c r="D122" t="s">
        <v>3328</v>
      </c>
      <c r="E122" t="s">
        <v>1610</v>
      </c>
      <c r="F122" t="s">
        <v>1661</v>
      </c>
      <c r="G122" t="s">
        <v>2258</v>
      </c>
    </row>
    <row r="123" spans="1:7" x14ac:dyDescent="0.3">
      <c r="A123" t="s">
        <v>1610</v>
      </c>
      <c r="B123" t="s">
        <v>2260</v>
      </c>
      <c r="C123" t="s">
        <v>3367</v>
      </c>
      <c r="D123" t="s">
        <v>3329</v>
      </c>
      <c r="E123" t="s">
        <v>1610</v>
      </c>
      <c r="F123" t="s">
        <v>1661</v>
      </c>
      <c r="G123" t="s">
        <v>2262</v>
      </c>
    </row>
    <row r="124" spans="1:7" x14ac:dyDescent="0.3">
      <c r="A124" t="s">
        <v>1610</v>
      </c>
      <c r="B124" t="s">
        <v>2264</v>
      </c>
      <c r="C124" t="s">
        <v>3367</v>
      </c>
      <c r="D124" t="s">
        <v>3330</v>
      </c>
      <c r="E124" t="s">
        <v>1610</v>
      </c>
      <c r="F124" t="s">
        <v>1661</v>
      </c>
      <c r="G124" t="s">
        <v>2266</v>
      </c>
    </row>
    <row r="125" spans="1:7" x14ac:dyDescent="0.3">
      <c r="A125" t="s">
        <v>1610</v>
      </c>
      <c r="B125" t="s">
        <v>2268</v>
      </c>
      <c r="C125" t="s">
        <v>3367</v>
      </c>
      <c r="D125" t="s">
        <v>3331</v>
      </c>
      <c r="E125" t="s">
        <v>1610</v>
      </c>
      <c r="F125" t="s">
        <v>1661</v>
      </c>
      <c r="G125" t="s">
        <v>2270</v>
      </c>
    </row>
    <row r="126" spans="1:7" x14ac:dyDescent="0.3">
      <c r="A126" t="s">
        <v>1611</v>
      </c>
      <c r="B126" t="s">
        <v>2272</v>
      </c>
      <c r="C126" t="s">
        <v>3367</v>
      </c>
      <c r="D126" t="s">
        <v>3332</v>
      </c>
      <c r="E126" t="s">
        <v>1611</v>
      </c>
      <c r="F126" t="s">
        <v>1661</v>
      </c>
      <c r="G126" t="s">
        <v>2274</v>
      </c>
    </row>
    <row r="127" spans="1:7" x14ac:dyDescent="0.3">
      <c r="A127" t="s">
        <v>1611</v>
      </c>
      <c r="B127" t="s">
        <v>2276</v>
      </c>
      <c r="C127" t="s">
        <v>3367</v>
      </c>
      <c r="D127" t="s">
        <v>3333</v>
      </c>
      <c r="E127" t="s">
        <v>1611</v>
      </c>
      <c r="F127" t="s">
        <v>1661</v>
      </c>
      <c r="G127" t="s">
        <v>2278</v>
      </c>
    </row>
    <row r="128" spans="1:7" x14ac:dyDescent="0.3">
      <c r="A128" t="s">
        <v>1612</v>
      </c>
      <c r="B128" t="s">
        <v>2280</v>
      </c>
      <c r="C128" t="s">
        <v>3367</v>
      </c>
      <c r="D128" t="s">
        <v>3334</v>
      </c>
      <c r="E128" t="s">
        <v>1612</v>
      </c>
      <c r="F128" t="s">
        <v>1661</v>
      </c>
      <c r="G128" t="s">
        <v>2282</v>
      </c>
    </row>
    <row r="129" spans="1:7" x14ac:dyDescent="0.3">
      <c r="A129" t="s">
        <v>1613</v>
      </c>
      <c r="B129" t="s">
        <v>2284</v>
      </c>
      <c r="C129" t="s">
        <v>3367</v>
      </c>
      <c r="D129" t="s">
        <v>3335</v>
      </c>
      <c r="E129" t="s">
        <v>1613</v>
      </c>
      <c r="F129" t="s">
        <v>1661</v>
      </c>
      <c r="G129" t="s">
        <v>2286</v>
      </c>
    </row>
    <row r="130" spans="1:7" x14ac:dyDescent="0.3">
      <c r="A130" t="s">
        <v>1614</v>
      </c>
      <c r="B130" t="s">
        <v>2288</v>
      </c>
      <c r="C130" t="s">
        <v>3367</v>
      </c>
      <c r="D130" t="s">
        <v>3336</v>
      </c>
      <c r="E130" t="s">
        <v>1614</v>
      </c>
      <c r="F130" t="s">
        <v>1661</v>
      </c>
      <c r="G130" t="s">
        <v>2290</v>
      </c>
    </row>
    <row r="131" spans="1:7" x14ac:dyDescent="0.3">
      <c r="A131" t="s">
        <v>1610</v>
      </c>
      <c r="B131" t="s">
        <v>2292</v>
      </c>
      <c r="C131" t="s">
        <v>3367</v>
      </c>
      <c r="D131" t="s">
        <v>3337</v>
      </c>
      <c r="E131" t="s">
        <v>1610</v>
      </c>
      <c r="F131" t="s">
        <v>1662</v>
      </c>
      <c r="G131" t="s">
        <v>2294</v>
      </c>
    </row>
    <row r="132" spans="1:7" x14ac:dyDescent="0.3">
      <c r="A132" t="s">
        <v>1610</v>
      </c>
      <c r="B132" t="s">
        <v>2296</v>
      </c>
      <c r="C132" t="s">
        <v>3367</v>
      </c>
      <c r="D132" t="s">
        <v>3338</v>
      </c>
      <c r="E132" t="s">
        <v>1610</v>
      </c>
      <c r="F132" t="s">
        <v>1662</v>
      </c>
      <c r="G132" t="s">
        <v>2298</v>
      </c>
    </row>
    <row r="133" spans="1:7" x14ac:dyDescent="0.3">
      <c r="A133" t="s">
        <v>1611</v>
      </c>
      <c r="B133" t="s">
        <v>2300</v>
      </c>
      <c r="C133" t="s">
        <v>3367</v>
      </c>
      <c r="D133" t="s">
        <v>3339</v>
      </c>
      <c r="E133" t="s">
        <v>1611</v>
      </c>
      <c r="F133" t="s">
        <v>1662</v>
      </c>
      <c r="G133" t="s">
        <v>2302</v>
      </c>
    </row>
    <row r="134" spans="1:7" x14ac:dyDescent="0.3">
      <c r="A134" t="s">
        <v>1611</v>
      </c>
      <c r="B134" t="s">
        <v>2304</v>
      </c>
      <c r="C134" t="s">
        <v>3367</v>
      </c>
      <c r="D134" t="s">
        <v>3340</v>
      </c>
      <c r="E134" t="s">
        <v>1611</v>
      </c>
      <c r="F134" t="s">
        <v>1662</v>
      </c>
      <c r="G134" t="s">
        <v>2306</v>
      </c>
    </row>
    <row r="135" spans="1:7" x14ac:dyDescent="0.3">
      <c r="A135" t="s">
        <v>2666</v>
      </c>
      <c r="B135" t="s">
        <v>2308</v>
      </c>
      <c r="C135" t="s">
        <v>3367</v>
      </c>
      <c r="D135" t="s">
        <v>3341</v>
      </c>
      <c r="E135" t="s">
        <v>2666</v>
      </c>
      <c r="F135" t="s">
        <v>1662</v>
      </c>
      <c r="G135" t="s">
        <v>2310</v>
      </c>
    </row>
    <row r="136" spans="1:7" x14ac:dyDescent="0.3">
      <c r="A136" t="s">
        <v>2666</v>
      </c>
      <c r="B136" t="s">
        <v>2312</v>
      </c>
      <c r="C136" t="s">
        <v>3367</v>
      </c>
      <c r="D136" t="s">
        <v>3342</v>
      </c>
      <c r="E136" t="s">
        <v>2666</v>
      </c>
      <c r="F136" t="s">
        <v>1662</v>
      </c>
      <c r="G136" t="s">
        <v>2314</v>
      </c>
    </row>
    <row r="137" spans="1:7" x14ac:dyDescent="0.3">
      <c r="A137" t="s">
        <v>2660</v>
      </c>
      <c r="B137" t="s">
        <v>2316</v>
      </c>
      <c r="C137" t="s">
        <v>3367</v>
      </c>
      <c r="D137" t="s">
        <v>3343</v>
      </c>
      <c r="E137" t="s">
        <v>2660</v>
      </c>
      <c r="F137" t="s">
        <v>1662</v>
      </c>
      <c r="G137" t="s">
        <v>2318</v>
      </c>
    </row>
    <row r="138" spans="1:7" x14ac:dyDescent="0.3">
      <c r="A138" t="s">
        <v>2660</v>
      </c>
      <c r="B138" t="s">
        <v>2320</v>
      </c>
      <c r="C138" t="s">
        <v>3367</v>
      </c>
      <c r="D138" t="s">
        <v>3344</v>
      </c>
      <c r="E138" t="s">
        <v>2660</v>
      </c>
      <c r="F138" t="s">
        <v>1662</v>
      </c>
      <c r="G138" t="s">
        <v>2322</v>
      </c>
    </row>
    <row r="139" spans="1:7" x14ac:dyDescent="0.3">
      <c r="A139" t="s">
        <v>1610</v>
      </c>
      <c r="B139" t="s">
        <v>2324</v>
      </c>
      <c r="C139" t="s">
        <v>3367</v>
      </c>
      <c r="D139" t="s">
        <v>3345</v>
      </c>
      <c r="E139" t="s">
        <v>1610</v>
      </c>
      <c r="F139" t="s">
        <v>1662</v>
      </c>
      <c r="G139" t="s">
        <v>2326</v>
      </c>
    </row>
    <row r="140" spans="1:7" x14ac:dyDescent="0.3">
      <c r="A140" t="s">
        <v>1612</v>
      </c>
      <c r="B140" t="s">
        <v>2328</v>
      </c>
      <c r="C140" t="s">
        <v>3367</v>
      </c>
      <c r="D140" t="s">
        <v>3346</v>
      </c>
      <c r="E140" t="s">
        <v>1612</v>
      </c>
      <c r="F140" t="s">
        <v>1662</v>
      </c>
      <c r="G140" t="s">
        <v>2330</v>
      </c>
    </row>
    <row r="141" spans="1:7" x14ac:dyDescent="0.3">
      <c r="A141" t="s">
        <v>1613</v>
      </c>
      <c r="B141" t="s">
        <v>2332</v>
      </c>
      <c r="C141" t="s">
        <v>3367</v>
      </c>
      <c r="D141" t="s">
        <v>3347</v>
      </c>
      <c r="E141" t="s">
        <v>1613</v>
      </c>
      <c r="F141" t="s">
        <v>1662</v>
      </c>
      <c r="G141" t="s">
        <v>2334</v>
      </c>
    </row>
    <row r="142" spans="1:7" x14ac:dyDescent="0.3">
      <c r="A142" t="s">
        <v>1614</v>
      </c>
      <c r="B142" t="s">
        <v>2336</v>
      </c>
      <c r="C142" t="s">
        <v>3367</v>
      </c>
      <c r="D142" t="s">
        <v>3348</v>
      </c>
      <c r="E142" t="s">
        <v>1614</v>
      </c>
      <c r="F142" t="s">
        <v>1662</v>
      </c>
      <c r="G142" t="s">
        <v>2338</v>
      </c>
    </row>
    <row r="143" spans="1:7" x14ac:dyDescent="0.3">
      <c r="A143" t="s">
        <v>1615</v>
      </c>
      <c r="B143" t="s">
        <v>2340</v>
      </c>
      <c r="C143" t="s">
        <v>3367</v>
      </c>
      <c r="D143" t="s">
        <v>3349</v>
      </c>
      <c r="E143" t="s">
        <v>1615</v>
      </c>
      <c r="F143" t="s">
        <v>1662</v>
      </c>
      <c r="G143" t="s">
        <v>2342</v>
      </c>
    </row>
    <row r="144" spans="1:7" x14ac:dyDescent="0.3">
      <c r="A144" t="s">
        <v>1616</v>
      </c>
      <c r="B144" t="s">
        <v>2344</v>
      </c>
      <c r="C144" t="s">
        <v>3367</v>
      </c>
      <c r="D144" t="s">
        <v>3350</v>
      </c>
      <c r="E144" t="s">
        <v>1616</v>
      </c>
      <c r="F144" t="s">
        <v>1662</v>
      </c>
      <c r="G144" t="s">
        <v>2346</v>
      </c>
    </row>
    <row r="145" spans="1:7" x14ac:dyDescent="0.3">
      <c r="A145" t="s">
        <v>1617</v>
      </c>
      <c r="B145" t="s">
        <v>2348</v>
      </c>
      <c r="C145" t="s">
        <v>3367</v>
      </c>
      <c r="D145" t="s">
        <v>3351</v>
      </c>
      <c r="E145" t="s">
        <v>1617</v>
      </c>
      <c r="F145" t="s">
        <v>1662</v>
      </c>
      <c r="G145" t="s">
        <v>2350</v>
      </c>
    </row>
    <row r="146" spans="1:7" x14ac:dyDescent="0.3">
      <c r="A146" t="s">
        <v>1618</v>
      </c>
      <c r="B146" t="s">
        <v>2352</v>
      </c>
      <c r="C146" t="s">
        <v>3367</v>
      </c>
      <c r="D146" t="s">
        <v>3352</v>
      </c>
      <c r="E146" t="s">
        <v>1618</v>
      </c>
      <c r="F146" t="s">
        <v>1662</v>
      </c>
      <c r="G146" t="s">
        <v>2354</v>
      </c>
    </row>
    <row r="147" spans="1:7" x14ac:dyDescent="0.3">
      <c r="A147" t="s">
        <v>1619</v>
      </c>
      <c r="B147" t="s">
        <v>2356</v>
      </c>
      <c r="C147" t="s">
        <v>3367</v>
      </c>
      <c r="D147" t="s">
        <v>3353</v>
      </c>
      <c r="E147" t="s">
        <v>1619</v>
      </c>
      <c r="F147" t="s">
        <v>1662</v>
      </c>
      <c r="G147" t="s">
        <v>2358</v>
      </c>
    </row>
    <row r="148" spans="1:7" x14ac:dyDescent="0.3">
      <c r="A148" t="s">
        <v>1620</v>
      </c>
      <c r="B148" t="s">
        <v>2360</v>
      </c>
      <c r="C148" t="s">
        <v>3367</v>
      </c>
      <c r="D148" t="s">
        <v>3354</v>
      </c>
      <c r="E148" t="s">
        <v>1620</v>
      </c>
      <c r="F148" t="s">
        <v>1662</v>
      </c>
      <c r="G148" t="s">
        <v>2362</v>
      </c>
    </row>
    <row r="149" spans="1:7" x14ac:dyDescent="0.3">
      <c r="A149" t="s">
        <v>1610</v>
      </c>
      <c r="B149" t="s">
        <v>2364</v>
      </c>
      <c r="C149" t="s">
        <v>3367</v>
      </c>
      <c r="D149" t="s">
        <v>3355</v>
      </c>
      <c r="E149" t="s">
        <v>1610</v>
      </c>
      <c r="F149" t="s">
        <v>1662</v>
      </c>
      <c r="G149" t="s">
        <v>2366</v>
      </c>
    </row>
    <row r="150" spans="1:7" x14ac:dyDescent="0.3">
      <c r="A150" t="s">
        <v>1610</v>
      </c>
      <c r="B150" t="s">
        <v>2368</v>
      </c>
      <c r="C150" t="s">
        <v>3367</v>
      </c>
      <c r="D150" t="s">
        <v>3356</v>
      </c>
      <c r="E150" t="s">
        <v>1610</v>
      </c>
      <c r="F150" t="s">
        <v>1662</v>
      </c>
      <c r="G150" t="s">
        <v>2370</v>
      </c>
    </row>
    <row r="151" spans="1:7" x14ac:dyDescent="0.3">
      <c r="A151" t="s">
        <v>1610</v>
      </c>
      <c r="B151" t="s">
        <v>2372</v>
      </c>
      <c r="C151" t="s">
        <v>3367</v>
      </c>
      <c r="D151" t="s">
        <v>3357</v>
      </c>
      <c r="E151" t="s">
        <v>1610</v>
      </c>
      <c r="F151" t="s">
        <v>1662</v>
      </c>
      <c r="G151" t="s">
        <v>2374</v>
      </c>
    </row>
    <row r="152" spans="1:7" x14ac:dyDescent="0.3">
      <c r="A152" t="s">
        <v>1610</v>
      </c>
      <c r="B152" t="s">
        <v>2376</v>
      </c>
      <c r="C152" t="s">
        <v>3367</v>
      </c>
      <c r="D152" t="s">
        <v>3358</v>
      </c>
      <c r="E152" t="s">
        <v>1610</v>
      </c>
      <c r="F152" t="s">
        <v>1662</v>
      </c>
      <c r="G152" t="s">
        <v>2378</v>
      </c>
    </row>
    <row r="153" spans="1:7" x14ac:dyDescent="0.3">
      <c r="A153" t="s">
        <v>1610</v>
      </c>
      <c r="B153" t="s">
        <v>2380</v>
      </c>
      <c r="C153" t="s">
        <v>3367</v>
      </c>
      <c r="D153" t="s">
        <v>3359</v>
      </c>
      <c r="E153" t="s">
        <v>1610</v>
      </c>
      <c r="F153" t="s">
        <v>1662</v>
      </c>
      <c r="G153" t="s">
        <v>2382</v>
      </c>
    </row>
    <row r="154" spans="1:7" x14ac:dyDescent="0.3">
      <c r="A154" t="s">
        <v>1610</v>
      </c>
      <c r="B154" t="s">
        <v>2384</v>
      </c>
      <c r="C154" t="s">
        <v>3367</v>
      </c>
      <c r="D154" t="s">
        <v>3360</v>
      </c>
      <c r="E154" t="s">
        <v>1610</v>
      </c>
      <c r="F154" t="s">
        <v>1662</v>
      </c>
      <c r="G154" t="s">
        <v>2386</v>
      </c>
    </row>
    <row r="155" spans="1:7" x14ac:dyDescent="0.3">
      <c r="A155" t="s">
        <v>1611</v>
      </c>
      <c r="B155" t="s">
        <v>2388</v>
      </c>
      <c r="C155" t="s">
        <v>3367</v>
      </c>
      <c r="D155" t="s">
        <v>3361</v>
      </c>
      <c r="E155" t="s">
        <v>1611</v>
      </c>
      <c r="F155" t="s">
        <v>1662</v>
      </c>
      <c r="G155" t="s">
        <v>2390</v>
      </c>
    </row>
    <row r="156" spans="1:7" x14ac:dyDescent="0.3">
      <c r="A156" t="s">
        <v>1611</v>
      </c>
      <c r="B156" t="s">
        <v>2392</v>
      </c>
      <c r="C156" t="s">
        <v>3367</v>
      </c>
      <c r="D156" t="s">
        <v>3362</v>
      </c>
      <c r="E156" t="s">
        <v>1611</v>
      </c>
      <c r="F156" t="s">
        <v>1662</v>
      </c>
      <c r="G156" t="s">
        <v>2394</v>
      </c>
    </row>
    <row r="157" spans="1:7" x14ac:dyDescent="0.3">
      <c r="A157" t="s">
        <v>1611</v>
      </c>
      <c r="B157" t="s">
        <v>2396</v>
      </c>
      <c r="C157" t="s">
        <v>3367</v>
      </c>
      <c r="D157" t="s">
        <v>3363</v>
      </c>
      <c r="E157" t="s">
        <v>1611</v>
      </c>
      <c r="F157" t="s">
        <v>1662</v>
      </c>
      <c r="G157" t="s">
        <v>2398</v>
      </c>
    </row>
    <row r="158" spans="1:7" x14ac:dyDescent="0.3">
      <c r="A158" t="s">
        <v>1611</v>
      </c>
      <c r="B158" t="s">
        <v>2400</v>
      </c>
      <c r="C158" t="s">
        <v>3367</v>
      </c>
      <c r="D158" t="s">
        <v>3364</v>
      </c>
      <c r="E158" t="s">
        <v>1611</v>
      </c>
      <c r="F158" t="s">
        <v>1662</v>
      </c>
      <c r="G158" t="s">
        <v>2402</v>
      </c>
    </row>
    <row r="159" spans="1:7" x14ac:dyDescent="0.3">
      <c r="A159" t="s">
        <v>1611</v>
      </c>
      <c r="B159" t="s">
        <v>2404</v>
      </c>
      <c r="C159" t="s">
        <v>3367</v>
      </c>
      <c r="D159" t="s">
        <v>3365</v>
      </c>
      <c r="E159" t="s">
        <v>1611</v>
      </c>
      <c r="F159" t="s">
        <v>1662</v>
      </c>
      <c r="G159" t="s">
        <v>2406</v>
      </c>
    </row>
    <row r="160" spans="1:7" x14ac:dyDescent="0.3">
      <c r="A160" t="s">
        <v>1611</v>
      </c>
      <c r="B160" t="s">
        <v>2408</v>
      </c>
      <c r="C160" t="s">
        <v>3367</v>
      </c>
      <c r="D160" t="s">
        <v>3366</v>
      </c>
      <c r="E160" t="s">
        <v>1611</v>
      </c>
      <c r="F160" t="s">
        <v>1662</v>
      </c>
      <c r="G160" t="s">
        <v>2410</v>
      </c>
    </row>
    <row r="161" spans="1:7" x14ac:dyDescent="0.3">
      <c r="A161" t="s">
        <v>1610</v>
      </c>
      <c r="B161" t="s">
        <v>2412</v>
      </c>
      <c r="C161" t="s">
        <v>3367</v>
      </c>
      <c r="D161" t="s">
        <v>2622</v>
      </c>
      <c r="E161" t="s">
        <v>1610</v>
      </c>
      <c r="F161" t="s">
        <v>1663</v>
      </c>
      <c r="G161" t="s">
        <v>2414</v>
      </c>
    </row>
    <row r="162" spans="1:7" x14ac:dyDescent="0.3">
      <c r="A162" t="s">
        <v>1610</v>
      </c>
      <c r="B162" t="s">
        <v>2416</v>
      </c>
      <c r="C162" t="s">
        <v>3367</v>
      </c>
      <c r="D162" t="s">
        <v>2624</v>
      </c>
      <c r="E162" t="s">
        <v>1610</v>
      </c>
      <c r="F162" t="s">
        <v>1663</v>
      </c>
      <c r="G162" t="s">
        <v>2418</v>
      </c>
    </row>
    <row r="163" spans="1:7" x14ac:dyDescent="0.3">
      <c r="A163" t="s">
        <v>1610</v>
      </c>
      <c r="B163" t="s">
        <v>2420</v>
      </c>
      <c r="C163" t="s">
        <v>3367</v>
      </c>
      <c r="D163" t="s">
        <v>2625</v>
      </c>
      <c r="E163" t="s">
        <v>1610</v>
      </c>
      <c r="F163" t="s">
        <v>1663</v>
      </c>
      <c r="G163" t="s">
        <v>2422</v>
      </c>
    </row>
    <row r="164" spans="1:7" x14ac:dyDescent="0.3">
      <c r="A164" t="s">
        <v>1610</v>
      </c>
      <c r="B164" t="s">
        <v>2424</v>
      </c>
      <c r="C164" t="s">
        <v>3367</v>
      </c>
      <c r="D164" t="s">
        <v>2626</v>
      </c>
      <c r="E164" t="s">
        <v>1610</v>
      </c>
      <c r="F164" t="s">
        <v>1663</v>
      </c>
      <c r="G164" t="s">
        <v>2426</v>
      </c>
    </row>
    <row r="165" spans="1:7" x14ac:dyDescent="0.3">
      <c r="A165" t="s">
        <v>1610</v>
      </c>
      <c r="B165" t="s">
        <v>2428</v>
      </c>
      <c r="C165" t="s">
        <v>3367</v>
      </c>
      <c r="D165" t="s">
        <v>2627</v>
      </c>
      <c r="E165" t="s">
        <v>1610</v>
      </c>
      <c r="F165" t="s">
        <v>1663</v>
      </c>
      <c r="G165" t="s">
        <v>2430</v>
      </c>
    </row>
    <row r="166" spans="1:7" x14ac:dyDescent="0.3">
      <c r="A166" t="s">
        <v>1615</v>
      </c>
      <c r="B166" t="s">
        <v>2432</v>
      </c>
      <c r="C166" t="s">
        <v>3367</v>
      </c>
      <c r="D166" t="s">
        <v>2628</v>
      </c>
      <c r="E166" t="s">
        <v>1615</v>
      </c>
      <c r="F166" t="s">
        <v>1663</v>
      </c>
      <c r="G166" t="s">
        <v>2434</v>
      </c>
    </row>
    <row r="167" spans="1:7" x14ac:dyDescent="0.3">
      <c r="A167" t="s">
        <v>1615</v>
      </c>
      <c r="B167" t="s">
        <v>2436</v>
      </c>
      <c r="C167" t="s">
        <v>3367</v>
      </c>
      <c r="D167" t="s">
        <v>2629</v>
      </c>
      <c r="E167" t="s">
        <v>1615</v>
      </c>
      <c r="F167" t="s">
        <v>1663</v>
      </c>
      <c r="G167" t="s">
        <v>2438</v>
      </c>
    </row>
    <row r="168" spans="1:7" x14ac:dyDescent="0.3">
      <c r="A168" t="s">
        <v>1616</v>
      </c>
      <c r="B168" t="s">
        <v>2440</v>
      </c>
      <c r="C168" t="s">
        <v>3367</v>
      </c>
      <c r="D168" t="s">
        <v>2630</v>
      </c>
      <c r="E168" t="s">
        <v>1616</v>
      </c>
      <c r="F168" t="s">
        <v>1663</v>
      </c>
      <c r="G168" t="s">
        <v>2442</v>
      </c>
    </row>
    <row r="169" spans="1:7" x14ac:dyDescent="0.3">
      <c r="A169" t="s">
        <v>1616</v>
      </c>
      <c r="B169" t="s">
        <v>2444</v>
      </c>
      <c r="C169" t="s">
        <v>3367</v>
      </c>
      <c r="D169" t="s">
        <v>2631</v>
      </c>
      <c r="E169" t="s">
        <v>1616</v>
      </c>
      <c r="F169" t="s">
        <v>1663</v>
      </c>
      <c r="G169" t="s">
        <v>2446</v>
      </c>
    </row>
    <row r="170" spans="1:7" x14ac:dyDescent="0.3">
      <c r="A170" t="s">
        <v>1617</v>
      </c>
      <c r="B170" t="s">
        <v>2448</v>
      </c>
      <c r="C170" t="s">
        <v>3367</v>
      </c>
      <c r="D170" t="s">
        <v>2632</v>
      </c>
      <c r="E170" t="s">
        <v>1617</v>
      </c>
      <c r="F170" t="s">
        <v>1663</v>
      </c>
      <c r="G170" t="s">
        <v>2450</v>
      </c>
    </row>
    <row r="171" spans="1:7" x14ac:dyDescent="0.3">
      <c r="A171" t="s">
        <v>1617</v>
      </c>
      <c r="B171" t="s">
        <v>2452</v>
      </c>
      <c r="C171" t="s">
        <v>3367</v>
      </c>
      <c r="D171" t="s">
        <v>2633</v>
      </c>
      <c r="E171" t="s">
        <v>1617</v>
      </c>
      <c r="F171" t="s">
        <v>1663</v>
      </c>
      <c r="G171" t="s">
        <v>2454</v>
      </c>
    </row>
    <row r="172" spans="1:7" x14ac:dyDescent="0.3">
      <c r="A172" t="s">
        <v>1618</v>
      </c>
      <c r="B172" t="s">
        <v>2456</v>
      </c>
      <c r="C172" t="s">
        <v>3367</v>
      </c>
      <c r="D172" t="s">
        <v>2634</v>
      </c>
      <c r="E172" t="s">
        <v>1618</v>
      </c>
      <c r="F172" t="s">
        <v>1663</v>
      </c>
      <c r="G172" t="s">
        <v>2458</v>
      </c>
    </row>
    <row r="173" spans="1:7" x14ac:dyDescent="0.3">
      <c r="A173" t="s">
        <v>1618</v>
      </c>
      <c r="B173" t="s">
        <v>2460</v>
      </c>
      <c r="C173" t="s">
        <v>3367</v>
      </c>
      <c r="D173" t="s">
        <v>2635</v>
      </c>
      <c r="E173" t="s">
        <v>1618</v>
      </c>
      <c r="F173" t="s">
        <v>1663</v>
      </c>
      <c r="G173" t="s">
        <v>2462</v>
      </c>
    </row>
    <row r="174" spans="1:7" x14ac:dyDescent="0.3">
      <c r="A174" t="s">
        <v>1619</v>
      </c>
      <c r="B174" t="s">
        <v>2464</v>
      </c>
      <c r="C174" t="s">
        <v>3367</v>
      </c>
      <c r="D174" t="s">
        <v>2636</v>
      </c>
      <c r="E174" t="s">
        <v>1619</v>
      </c>
      <c r="F174" t="s">
        <v>1663</v>
      </c>
      <c r="G174" t="s">
        <v>2466</v>
      </c>
    </row>
    <row r="175" spans="1:7" x14ac:dyDescent="0.3">
      <c r="A175" t="s">
        <v>1619</v>
      </c>
      <c r="B175" t="s">
        <v>2468</v>
      </c>
      <c r="C175" t="s">
        <v>3367</v>
      </c>
      <c r="D175" t="s">
        <v>2637</v>
      </c>
      <c r="E175" t="s">
        <v>1619</v>
      </c>
      <c r="F175" t="s">
        <v>1663</v>
      </c>
      <c r="G175" t="s">
        <v>2470</v>
      </c>
    </row>
    <row r="176" spans="1:7" x14ac:dyDescent="0.3">
      <c r="A176" t="s">
        <v>1620</v>
      </c>
      <c r="B176" t="s">
        <v>2472</v>
      </c>
      <c r="C176" t="s">
        <v>3367</v>
      </c>
      <c r="D176" t="s">
        <v>2638</v>
      </c>
      <c r="E176" t="s">
        <v>1620</v>
      </c>
      <c r="F176" t="s">
        <v>1663</v>
      </c>
      <c r="G176" t="s">
        <v>2474</v>
      </c>
    </row>
    <row r="177" spans="1:7" x14ac:dyDescent="0.3">
      <c r="A177" t="s">
        <v>1620</v>
      </c>
      <c r="B177" t="s">
        <v>2476</v>
      </c>
      <c r="C177" t="s">
        <v>3367</v>
      </c>
      <c r="D177" t="s">
        <v>2639</v>
      </c>
      <c r="E177" t="s">
        <v>1620</v>
      </c>
      <c r="F177" t="s">
        <v>1663</v>
      </c>
      <c r="G177" t="s">
        <v>2478</v>
      </c>
    </row>
    <row r="178" spans="1:7" x14ac:dyDescent="0.3">
      <c r="A178" t="s">
        <v>1620</v>
      </c>
      <c r="B178" t="s">
        <v>2480</v>
      </c>
      <c r="C178" t="s">
        <v>3367</v>
      </c>
      <c r="D178" t="s">
        <v>2640</v>
      </c>
      <c r="E178" t="s">
        <v>1620</v>
      </c>
      <c r="F178" t="s">
        <v>1663</v>
      </c>
      <c r="G178" t="s">
        <v>2482</v>
      </c>
    </row>
    <row r="179" spans="1:7" x14ac:dyDescent="0.3">
      <c r="A179" t="s">
        <v>2666</v>
      </c>
      <c r="B179" t="s">
        <v>2484</v>
      </c>
      <c r="C179" t="s">
        <v>3367</v>
      </c>
      <c r="D179" t="s">
        <v>2641</v>
      </c>
      <c r="E179" t="s">
        <v>2666</v>
      </c>
      <c r="F179" t="s">
        <v>1663</v>
      </c>
      <c r="G179" t="s">
        <v>2486</v>
      </c>
    </row>
    <row r="180" spans="1:7" x14ac:dyDescent="0.3">
      <c r="A180" t="s">
        <v>1612</v>
      </c>
      <c r="B180" t="s">
        <v>2488</v>
      </c>
      <c r="C180" t="s">
        <v>3367</v>
      </c>
      <c r="D180" t="s">
        <v>2642</v>
      </c>
      <c r="E180" t="s">
        <v>1612</v>
      </c>
      <c r="F180" t="s">
        <v>1663</v>
      </c>
      <c r="G180" t="s">
        <v>2490</v>
      </c>
    </row>
    <row r="181" spans="1:7" x14ac:dyDescent="0.3">
      <c r="A181" t="s">
        <v>1612</v>
      </c>
      <c r="B181" t="s">
        <v>2492</v>
      </c>
      <c r="C181" t="s">
        <v>3367</v>
      </c>
      <c r="D181" t="s">
        <v>2643</v>
      </c>
      <c r="E181" t="s">
        <v>1612</v>
      </c>
      <c r="F181" t="s">
        <v>1663</v>
      </c>
      <c r="G181" t="s">
        <v>2494</v>
      </c>
    </row>
    <row r="182" spans="1:7" x14ac:dyDescent="0.3">
      <c r="A182" t="s">
        <v>1612</v>
      </c>
      <c r="B182" t="s">
        <v>2496</v>
      </c>
      <c r="C182" t="s">
        <v>3367</v>
      </c>
      <c r="D182" t="s">
        <v>2644</v>
      </c>
      <c r="E182" t="s">
        <v>1612</v>
      </c>
      <c r="F182" t="s">
        <v>1663</v>
      </c>
      <c r="G182" t="s">
        <v>2498</v>
      </c>
    </row>
    <row r="183" spans="1:7" x14ac:dyDescent="0.3">
      <c r="A183" t="s">
        <v>1613</v>
      </c>
      <c r="B183" t="s">
        <v>2500</v>
      </c>
      <c r="C183" t="s">
        <v>3367</v>
      </c>
      <c r="D183" t="s">
        <v>2645</v>
      </c>
      <c r="E183" t="s">
        <v>1613</v>
      </c>
      <c r="F183" t="s">
        <v>1663</v>
      </c>
      <c r="G183" t="s">
        <v>2502</v>
      </c>
    </row>
    <row r="184" spans="1:7" x14ac:dyDescent="0.3">
      <c r="A184" t="s">
        <v>1613</v>
      </c>
      <c r="B184" t="s">
        <v>2504</v>
      </c>
      <c r="C184" t="s">
        <v>3367</v>
      </c>
      <c r="D184" t="s">
        <v>2646</v>
      </c>
      <c r="E184" t="s">
        <v>1613</v>
      </c>
      <c r="F184" t="s">
        <v>1663</v>
      </c>
      <c r="G184" t="s">
        <v>2506</v>
      </c>
    </row>
    <row r="185" spans="1:7" x14ac:dyDescent="0.3">
      <c r="A185" t="s">
        <v>1613</v>
      </c>
      <c r="B185" t="s">
        <v>2508</v>
      </c>
      <c r="C185" t="s">
        <v>3367</v>
      </c>
      <c r="D185" t="s">
        <v>2647</v>
      </c>
      <c r="E185" t="s">
        <v>1613</v>
      </c>
      <c r="F185" t="s">
        <v>1663</v>
      </c>
      <c r="G185" t="s">
        <v>2510</v>
      </c>
    </row>
    <row r="186" spans="1:7" x14ac:dyDescent="0.3">
      <c r="A186" t="s">
        <v>2661</v>
      </c>
      <c r="B186" t="s">
        <v>2512</v>
      </c>
      <c r="C186" t="s">
        <v>3367</v>
      </c>
      <c r="D186" t="s">
        <v>2648</v>
      </c>
      <c r="E186" t="s">
        <v>2661</v>
      </c>
      <c r="F186" t="s">
        <v>1663</v>
      </c>
      <c r="G186" t="s">
        <v>2514</v>
      </c>
    </row>
    <row r="187" spans="1:7" x14ac:dyDescent="0.3">
      <c r="A187" t="s">
        <v>2662</v>
      </c>
      <c r="B187" t="s">
        <v>2516</v>
      </c>
      <c r="C187" t="s">
        <v>3367</v>
      </c>
      <c r="D187" t="s">
        <v>2649</v>
      </c>
      <c r="E187" t="s">
        <v>2662</v>
      </c>
      <c r="F187" t="s">
        <v>1663</v>
      </c>
      <c r="G187" t="s">
        <v>2518</v>
      </c>
    </row>
    <row r="188" spans="1:7" x14ac:dyDescent="0.3">
      <c r="A188" t="s">
        <v>2663</v>
      </c>
      <c r="B188" t="s">
        <v>2520</v>
      </c>
      <c r="C188" t="s">
        <v>3367</v>
      </c>
      <c r="D188" t="s">
        <v>2650</v>
      </c>
      <c r="E188" t="s">
        <v>2663</v>
      </c>
      <c r="F188" t="s">
        <v>1663</v>
      </c>
      <c r="G188" t="s">
        <v>2522</v>
      </c>
    </row>
    <row r="189" spans="1:7" x14ac:dyDescent="0.3">
      <c r="A189" t="s">
        <v>1614</v>
      </c>
      <c r="B189" t="s">
        <v>2524</v>
      </c>
      <c r="C189" t="s">
        <v>3367</v>
      </c>
      <c r="D189" t="s">
        <v>2651</v>
      </c>
      <c r="E189" t="s">
        <v>1614</v>
      </c>
      <c r="F189" t="s">
        <v>1663</v>
      </c>
      <c r="G189" t="s">
        <v>2526</v>
      </c>
    </row>
    <row r="190" spans="1:7" x14ac:dyDescent="0.3">
      <c r="A190" t="s">
        <v>1614</v>
      </c>
      <c r="B190" t="s">
        <v>2528</v>
      </c>
      <c r="C190" t="s">
        <v>3367</v>
      </c>
      <c r="D190" t="s">
        <v>2652</v>
      </c>
      <c r="E190" t="s">
        <v>1614</v>
      </c>
      <c r="F190" t="s">
        <v>1663</v>
      </c>
      <c r="G190" t="s">
        <v>2530</v>
      </c>
    </row>
    <row r="191" spans="1:7" x14ac:dyDescent="0.3">
      <c r="A191" t="s">
        <v>1614</v>
      </c>
      <c r="B191" t="s">
        <v>2532</v>
      </c>
      <c r="C191" t="s">
        <v>3367</v>
      </c>
      <c r="D191" t="s">
        <v>2653</v>
      </c>
      <c r="E191" t="s">
        <v>1614</v>
      </c>
      <c r="F191" t="s">
        <v>1663</v>
      </c>
      <c r="G191" t="s">
        <v>2534</v>
      </c>
    </row>
    <row r="192" spans="1:7" x14ac:dyDescent="0.3">
      <c r="A192" t="s">
        <v>2664</v>
      </c>
      <c r="B192" t="s">
        <v>2536</v>
      </c>
      <c r="C192" t="s">
        <v>3367</v>
      </c>
      <c r="D192" t="s">
        <v>2654</v>
      </c>
      <c r="E192" t="s">
        <v>2664</v>
      </c>
      <c r="F192" t="s">
        <v>1663</v>
      </c>
      <c r="G192" t="s">
        <v>2538</v>
      </c>
    </row>
    <row r="193" spans="1:7" x14ac:dyDescent="0.3">
      <c r="A193" t="s">
        <v>2665</v>
      </c>
      <c r="B193" t="s">
        <v>2540</v>
      </c>
      <c r="C193" t="s">
        <v>3367</v>
      </c>
      <c r="D193" t="s">
        <v>2655</v>
      </c>
      <c r="E193" t="s">
        <v>2665</v>
      </c>
      <c r="F193" t="s">
        <v>1663</v>
      </c>
      <c r="G193" t="s">
        <v>2542</v>
      </c>
    </row>
    <row r="194" spans="1:7" x14ac:dyDescent="0.3">
      <c r="A194" t="s">
        <v>2660</v>
      </c>
      <c r="B194" t="s">
        <v>2544</v>
      </c>
      <c r="C194" t="s">
        <v>3367</v>
      </c>
      <c r="D194" t="s">
        <v>2656</v>
      </c>
      <c r="E194" t="s">
        <v>2660</v>
      </c>
      <c r="F194" t="s">
        <v>1663</v>
      </c>
      <c r="G194" t="s">
        <v>2546</v>
      </c>
    </row>
    <row r="195" spans="1:7" x14ac:dyDescent="0.3">
      <c r="A195" t="s">
        <v>2660</v>
      </c>
      <c r="B195" t="s">
        <v>2548</v>
      </c>
      <c r="C195" t="s">
        <v>3367</v>
      </c>
      <c r="D195" t="s">
        <v>2657</v>
      </c>
      <c r="E195" t="s">
        <v>2660</v>
      </c>
      <c r="F195" t="s">
        <v>1663</v>
      </c>
      <c r="G195" t="s">
        <v>2550</v>
      </c>
    </row>
    <row r="196" spans="1:7" x14ac:dyDescent="0.3">
      <c r="A196" t="s">
        <v>1611</v>
      </c>
      <c r="B196" t="s">
        <v>2552</v>
      </c>
      <c r="C196" t="s">
        <v>3367</v>
      </c>
      <c r="D196" t="s">
        <v>2658</v>
      </c>
      <c r="E196" t="s">
        <v>1611</v>
      </c>
      <c r="F196" t="s">
        <v>1663</v>
      </c>
      <c r="G196" t="s">
        <v>2554</v>
      </c>
    </row>
    <row r="197" spans="1:7" x14ac:dyDescent="0.3">
      <c r="A197" t="s">
        <v>1611</v>
      </c>
      <c r="B197" t="s">
        <v>2556</v>
      </c>
      <c r="C197" t="s">
        <v>3367</v>
      </c>
      <c r="D197" t="s">
        <v>2659</v>
      </c>
      <c r="E197" t="s">
        <v>1611</v>
      </c>
      <c r="F197" t="s">
        <v>1663</v>
      </c>
      <c r="G197" t="s">
        <v>2558</v>
      </c>
    </row>
    <row r="198" spans="1:7" x14ac:dyDescent="0.3">
      <c r="A198" t="s">
        <v>1610</v>
      </c>
      <c r="B198" t="s">
        <v>1442</v>
      </c>
      <c r="C198" t="s">
        <v>3367</v>
      </c>
      <c r="E198" t="s">
        <v>1610</v>
      </c>
      <c r="F198" t="s">
        <v>1664</v>
      </c>
      <c r="G198" t="s">
        <v>2561</v>
      </c>
    </row>
    <row r="199" spans="1:7" x14ac:dyDescent="0.3">
      <c r="A199" t="s">
        <v>1611</v>
      </c>
      <c r="B199" t="s">
        <v>1443</v>
      </c>
      <c r="C199" t="s">
        <v>3367</v>
      </c>
      <c r="E199" t="s">
        <v>1611</v>
      </c>
      <c r="F199" t="s">
        <v>1664</v>
      </c>
      <c r="G199" t="s">
        <v>2564</v>
      </c>
    </row>
    <row r="200" spans="1:7" x14ac:dyDescent="0.3">
      <c r="A200" t="s">
        <v>1610</v>
      </c>
      <c r="B200" t="s">
        <v>2566</v>
      </c>
      <c r="C200" t="s">
        <v>3367</v>
      </c>
      <c r="E200" t="s">
        <v>1610</v>
      </c>
      <c r="F200" t="s">
        <v>1664</v>
      </c>
      <c r="G200" t="s">
        <v>2568</v>
      </c>
    </row>
    <row r="201" spans="1:7" x14ac:dyDescent="0.3">
      <c r="A201" t="s">
        <v>1611</v>
      </c>
      <c r="B201" t="s">
        <v>2570</v>
      </c>
      <c r="C201" t="s">
        <v>3367</v>
      </c>
      <c r="E201" t="s">
        <v>1611</v>
      </c>
      <c r="F201" t="s">
        <v>1664</v>
      </c>
      <c r="G201" t="s">
        <v>2572</v>
      </c>
    </row>
    <row r="202" spans="1:7" x14ac:dyDescent="0.3">
      <c r="A202" t="s">
        <v>1610</v>
      </c>
      <c r="B202" t="s">
        <v>3204</v>
      </c>
      <c r="C202" t="s">
        <v>3367</v>
      </c>
      <c r="E202" t="s">
        <v>1610</v>
      </c>
      <c r="F202" t="s">
        <v>1665</v>
      </c>
      <c r="G202" t="s">
        <v>3206</v>
      </c>
    </row>
    <row r="203" spans="1:7" x14ac:dyDescent="0.3">
      <c r="A203" t="s">
        <v>1615</v>
      </c>
      <c r="B203" t="s">
        <v>2574</v>
      </c>
      <c r="C203" t="s">
        <v>3367</v>
      </c>
      <c r="E203" t="s">
        <v>1615</v>
      </c>
      <c r="F203" t="s">
        <v>1665</v>
      </c>
      <c r="G203" t="s">
        <v>2576</v>
      </c>
    </row>
    <row r="204" spans="1:7" x14ac:dyDescent="0.3">
      <c r="A204" t="s">
        <v>1616</v>
      </c>
      <c r="B204" t="s">
        <v>2578</v>
      </c>
      <c r="C204" t="s">
        <v>3367</v>
      </c>
      <c r="E204" t="s">
        <v>1616</v>
      </c>
      <c r="F204" t="s">
        <v>1665</v>
      </c>
      <c r="G204" t="s">
        <v>2580</v>
      </c>
    </row>
    <row r="205" spans="1:7" x14ac:dyDescent="0.3">
      <c r="A205" t="s">
        <v>1617</v>
      </c>
      <c r="B205" t="s">
        <v>2582</v>
      </c>
      <c r="C205" t="s">
        <v>3367</v>
      </c>
      <c r="E205" t="s">
        <v>1617</v>
      </c>
      <c r="F205" t="s">
        <v>1665</v>
      </c>
      <c r="G205" t="s">
        <v>2584</v>
      </c>
    </row>
    <row r="206" spans="1:7" x14ac:dyDescent="0.3">
      <c r="A206" t="s">
        <v>1618</v>
      </c>
      <c r="B206" t="s">
        <v>2586</v>
      </c>
      <c r="C206" t="s">
        <v>3367</v>
      </c>
      <c r="E206" t="s">
        <v>1618</v>
      </c>
      <c r="F206" t="s">
        <v>1665</v>
      </c>
      <c r="G206" t="s">
        <v>2588</v>
      </c>
    </row>
    <row r="207" spans="1:7" x14ac:dyDescent="0.3">
      <c r="A207" t="s">
        <v>1619</v>
      </c>
      <c r="B207" t="s">
        <v>2590</v>
      </c>
      <c r="C207" t="s">
        <v>3367</v>
      </c>
      <c r="E207" t="s">
        <v>1619</v>
      </c>
      <c r="F207" t="s">
        <v>1665</v>
      </c>
      <c r="G207" t="s">
        <v>2592</v>
      </c>
    </row>
    <row r="208" spans="1:7" x14ac:dyDescent="0.3">
      <c r="A208" t="s">
        <v>1620</v>
      </c>
      <c r="B208" t="s">
        <v>2594</v>
      </c>
      <c r="C208" t="s">
        <v>3367</v>
      </c>
      <c r="E208" t="s">
        <v>1620</v>
      </c>
      <c r="F208" t="s">
        <v>1665</v>
      </c>
      <c r="G208" t="s">
        <v>2596</v>
      </c>
    </row>
    <row r="209" spans="1:7" x14ac:dyDescent="0.3">
      <c r="A209" t="s">
        <v>1611</v>
      </c>
      <c r="B209" t="s">
        <v>2598</v>
      </c>
      <c r="C209" t="s">
        <v>3367</v>
      </c>
      <c r="E209" t="s">
        <v>1611</v>
      </c>
      <c r="F209" t="s">
        <v>1665</v>
      </c>
      <c r="G209" t="s">
        <v>2600</v>
      </c>
    </row>
    <row r="210" spans="1:7" x14ac:dyDescent="0.3">
      <c r="A210" t="s">
        <v>1612</v>
      </c>
      <c r="B210" t="s">
        <v>2691</v>
      </c>
      <c r="C210" t="s">
        <v>3367</v>
      </c>
      <c r="E210" t="s">
        <v>1612</v>
      </c>
      <c r="F210" t="s">
        <v>1665</v>
      </c>
      <c r="G210" t="s">
        <v>2693</v>
      </c>
    </row>
    <row r="211" spans="1:7" x14ac:dyDescent="0.3">
      <c r="A211" t="s">
        <v>1613</v>
      </c>
      <c r="B211" t="s">
        <v>2602</v>
      </c>
      <c r="C211" t="s">
        <v>3367</v>
      </c>
      <c r="E211" t="s">
        <v>1613</v>
      </c>
      <c r="F211" t="s">
        <v>1665</v>
      </c>
      <c r="G211" t="s">
        <v>2604</v>
      </c>
    </row>
    <row r="212" spans="1:7" x14ac:dyDescent="0.3">
      <c r="A212" t="s">
        <v>1614</v>
      </c>
      <c r="B212" t="s">
        <v>2606</v>
      </c>
      <c r="C212" t="s">
        <v>3367</v>
      </c>
      <c r="E212" t="s">
        <v>1614</v>
      </c>
      <c r="F212" t="s">
        <v>1665</v>
      </c>
      <c r="G212" t="s">
        <v>2608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33F0A-A402-4148-A167-C345A02A68B1}">
  <sheetPr codeName="Sheet4">
    <tabColor theme="9" tint="0.79998168889431442"/>
  </sheetPr>
  <dimension ref="A1:I212"/>
  <sheetViews>
    <sheetView topLeftCell="A52" zoomScale="80" zoomScaleNormal="80" workbookViewId="0">
      <selection activeCell="D22" sqref="D22"/>
    </sheetView>
  </sheetViews>
  <sheetFormatPr defaultRowHeight="15" customHeight="1" x14ac:dyDescent="0.3"/>
  <cols>
    <col min="1" max="1" width="18.375" customWidth="1"/>
    <col min="2" max="2" width="20.5" bestFit="1" customWidth="1"/>
    <col min="3" max="3" width="5.625" bestFit="1" customWidth="1"/>
    <col min="4" max="4" width="7.75" bestFit="1" customWidth="1"/>
    <col min="5" max="5" width="28.125" bestFit="1" customWidth="1"/>
    <col min="6" max="6" width="7.375" bestFit="1" customWidth="1"/>
    <col min="7" max="7" width="22.375" bestFit="1" customWidth="1"/>
    <col min="8" max="8" width="18.375" customWidth="1"/>
    <col min="9" max="9" width="28.875" bestFit="1" customWidth="1"/>
    <col min="10" max="10" width="16" bestFit="1" customWidth="1"/>
    <col min="11" max="11" width="18.375" bestFit="1" customWidth="1"/>
    <col min="12" max="12" width="22.5" bestFit="1" customWidth="1"/>
  </cols>
  <sheetData>
    <row r="1" spans="1:9" ht="15" customHeight="1" x14ac:dyDescent="0.3">
      <c r="A1" t="s">
        <v>7</v>
      </c>
      <c r="B1" t="s">
        <v>31</v>
      </c>
      <c r="C1" t="s">
        <v>4</v>
      </c>
      <c r="D1" t="s">
        <v>3</v>
      </c>
      <c r="E1" t="s">
        <v>32</v>
      </c>
      <c r="F1" t="s">
        <v>882</v>
      </c>
      <c r="G1" t="s">
        <v>910</v>
      </c>
      <c r="H1" t="s">
        <v>911</v>
      </c>
      <c r="I1" t="s">
        <v>912</v>
      </c>
    </row>
    <row r="2" spans="1:9" ht="15" customHeight="1" x14ac:dyDescent="0.3">
      <c r="A2" t="s">
        <v>1331</v>
      </c>
      <c r="B2" t="s">
        <v>1585</v>
      </c>
      <c r="C2">
        <v>1</v>
      </c>
      <c r="D2" t="s">
        <v>0</v>
      </c>
      <c r="E2" t="s">
        <v>888</v>
      </c>
      <c r="F2" t="s">
        <v>883</v>
      </c>
      <c r="G2" t="s">
        <v>2667</v>
      </c>
      <c r="H2" t="s">
        <v>1776</v>
      </c>
      <c r="I2" t="s">
        <v>2668</v>
      </c>
    </row>
    <row r="3" spans="1:9" ht="15" customHeight="1" x14ac:dyDescent="0.3">
      <c r="A3" t="s">
        <v>1333</v>
      </c>
      <c r="B3" t="s">
        <v>1585</v>
      </c>
      <c r="C3">
        <v>2</v>
      </c>
      <c r="D3" t="s">
        <v>0</v>
      </c>
      <c r="E3" t="s">
        <v>889</v>
      </c>
      <c r="F3" t="s">
        <v>883</v>
      </c>
      <c r="G3" t="s">
        <v>2667</v>
      </c>
      <c r="H3" t="s">
        <v>1780</v>
      </c>
      <c r="I3" t="s">
        <v>2668</v>
      </c>
    </row>
    <row r="4" spans="1:9" ht="15" customHeight="1" x14ac:dyDescent="0.3">
      <c r="A4" t="s">
        <v>1334</v>
      </c>
      <c r="B4" t="s">
        <v>1585</v>
      </c>
      <c r="C4">
        <v>3</v>
      </c>
      <c r="D4" t="s">
        <v>0</v>
      </c>
      <c r="E4" t="s">
        <v>890</v>
      </c>
      <c r="F4" t="s">
        <v>883</v>
      </c>
      <c r="G4" t="s">
        <v>2667</v>
      </c>
      <c r="H4" t="s">
        <v>1784</v>
      </c>
      <c r="I4" t="s">
        <v>2668</v>
      </c>
    </row>
    <row r="5" spans="1:9" ht="15" customHeight="1" x14ac:dyDescent="0.3">
      <c r="A5" t="s">
        <v>1332</v>
      </c>
      <c r="B5" t="s">
        <v>1585</v>
      </c>
      <c r="C5">
        <v>4</v>
      </c>
      <c r="D5" t="s">
        <v>0</v>
      </c>
      <c r="E5" t="s">
        <v>891</v>
      </c>
      <c r="F5" t="s">
        <v>883</v>
      </c>
      <c r="G5" t="s">
        <v>2667</v>
      </c>
      <c r="H5" t="s">
        <v>1788</v>
      </c>
      <c r="I5" t="s">
        <v>2668</v>
      </c>
    </row>
    <row r="6" spans="1:9" ht="15" customHeight="1" x14ac:dyDescent="0.3">
      <c r="A6" t="s">
        <v>1450</v>
      </c>
      <c r="B6" t="s">
        <v>1585</v>
      </c>
      <c r="C6">
        <v>5</v>
      </c>
      <c r="D6" t="s">
        <v>0</v>
      </c>
      <c r="E6" t="s">
        <v>892</v>
      </c>
      <c r="F6" t="s">
        <v>883</v>
      </c>
      <c r="G6" t="s">
        <v>2667</v>
      </c>
      <c r="H6" t="s">
        <v>1792</v>
      </c>
      <c r="I6" t="s">
        <v>2668</v>
      </c>
    </row>
    <row r="7" spans="1:9" ht="15" customHeight="1" x14ac:dyDescent="0.3">
      <c r="A7" t="s">
        <v>1451</v>
      </c>
      <c r="B7" t="s">
        <v>1585</v>
      </c>
      <c r="C7">
        <v>6</v>
      </c>
      <c r="D7" t="s">
        <v>0</v>
      </c>
      <c r="E7" t="s">
        <v>893</v>
      </c>
      <c r="F7" t="s">
        <v>883</v>
      </c>
      <c r="G7" t="s">
        <v>2667</v>
      </c>
      <c r="H7" t="s">
        <v>1796</v>
      </c>
      <c r="I7" t="s">
        <v>2668</v>
      </c>
    </row>
    <row r="8" spans="1:9" ht="15" customHeight="1" x14ac:dyDescent="0.3">
      <c r="A8" t="s">
        <v>1452</v>
      </c>
      <c r="B8" t="s">
        <v>1585</v>
      </c>
      <c r="C8">
        <v>7</v>
      </c>
      <c r="D8" t="s">
        <v>0</v>
      </c>
      <c r="E8" t="s">
        <v>894</v>
      </c>
      <c r="F8" t="s">
        <v>883</v>
      </c>
      <c r="G8" t="s">
        <v>2667</v>
      </c>
      <c r="H8" t="s">
        <v>1800</v>
      </c>
      <c r="I8" t="s">
        <v>2668</v>
      </c>
    </row>
    <row r="9" spans="1:9" ht="15" customHeight="1" x14ac:dyDescent="0.3">
      <c r="A9" t="s">
        <v>1453</v>
      </c>
      <c r="B9" t="s">
        <v>1585</v>
      </c>
      <c r="C9">
        <v>8</v>
      </c>
      <c r="D9" t="s">
        <v>0</v>
      </c>
      <c r="E9" t="s">
        <v>895</v>
      </c>
      <c r="F9" t="s">
        <v>883</v>
      </c>
      <c r="G9" t="s">
        <v>2667</v>
      </c>
      <c r="H9" t="s">
        <v>1804</v>
      </c>
      <c r="I9" t="s">
        <v>2668</v>
      </c>
    </row>
    <row r="10" spans="1:9" ht="15" customHeight="1" x14ac:dyDescent="0.3">
      <c r="A10" t="s">
        <v>1454</v>
      </c>
      <c r="B10" t="s">
        <v>1585</v>
      </c>
      <c r="C10">
        <v>9</v>
      </c>
      <c r="D10" t="s">
        <v>0</v>
      </c>
      <c r="E10" t="s">
        <v>896</v>
      </c>
      <c r="F10" t="s">
        <v>883</v>
      </c>
      <c r="G10" t="s">
        <v>2667</v>
      </c>
      <c r="H10" t="s">
        <v>1808</v>
      </c>
      <c r="I10" t="s">
        <v>2668</v>
      </c>
    </row>
    <row r="11" spans="1:9" ht="15" customHeight="1" x14ac:dyDescent="0.3">
      <c r="A11" t="s">
        <v>921</v>
      </c>
      <c r="B11" t="s">
        <v>1585</v>
      </c>
      <c r="C11">
        <v>10</v>
      </c>
      <c r="D11" t="s">
        <v>0</v>
      </c>
      <c r="E11" t="s">
        <v>897</v>
      </c>
      <c r="F11" t="s">
        <v>883</v>
      </c>
      <c r="G11" t="s">
        <v>2667</v>
      </c>
      <c r="H11" t="s">
        <v>1812</v>
      </c>
      <c r="I11" t="s">
        <v>2668</v>
      </c>
    </row>
    <row r="12" spans="1:9" ht="15" customHeight="1" x14ac:dyDescent="0.3">
      <c r="A12" t="s">
        <v>922</v>
      </c>
      <c r="B12" t="s">
        <v>1585</v>
      </c>
      <c r="C12">
        <v>11</v>
      </c>
      <c r="D12" t="s">
        <v>0</v>
      </c>
      <c r="E12" t="s">
        <v>898</v>
      </c>
      <c r="F12" t="s">
        <v>883</v>
      </c>
      <c r="G12" t="s">
        <v>2667</v>
      </c>
      <c r="H12" t="s">
        <v>1816</v>
      </c>
      <c r="I12" t="s">
        <v>2668</v>
      </c>
    </row>
    <row r="13" spans="1:9" ht="15" customHeight="1" x14ac:dyDescent="0.3">
      <c r="A13" t="s">
        <v>923</v>
      </c>
      <c r="B13" t="s">
        <v>1585</v>
      </c>
      <c r="C13">
        <v>12</v>
      </c>
      <c r="D13" t="s">
        <v>0</v>
      </c>
      <c r="E13" t="s">
        <v>1336</v>
      </c>
      <c r="F13" t="s">
        <v>883</v>
      </c>
      <c r="G13" t="s">
        <v>2667</v>
      </c>
      <c r="H13" t="s">
        <v>1820</v>
      </c>
      <c r="I13" t="s">
        <v>2668</v>
      </c>
    </row>
    <row r="14" spans="1:9" ht="15" customHeight="1" x14ac:dyDescent="0.3">
      <c r="A14" t="s">
        <v>925</v>
      </c>
      <c r="B14" t="s">
        <v>1585</v>
      </c>
      <c r="C14">
        <v>13</v>
      </c>
      <c r="D14" t="s">
        <v>0</v>
      </c>
      <c r="E14" t="s">
        <v>1337</v>
      </c>
      <c r="F14" t="s">
        <v>883</v>
      </c>
      <c r="G14" t="s">
        <v>2667</v>
      </c>
      <c r="H14" t="s">
        <v>1824</v>
      </c>
      <c r="I14" t="s">
        <v>2668</v>
      </c>
    </row>
    <row r="15" spans="1:9" ht="15" customHeight="1" x14ac:dyDescent="0.3">
      <c r="A15" t="s">
        <v>926</v>
      </c>
      <c r="B15" t="s">
        <v>1585</v>
      </c>
      <c r="C15">
        <v>14</v>
      </c>
      <c r="D15" t="s">
        <v>0</v>
      </c>
      <c r="E15" t="s">
        <v>1338</v>
      </c>
      <c r="F15" t="s">
        <v>883</v>
      </c>
      <c r="G15" t="s">
        <v>2667</v>
      </c>
      <c r="H15" t="s">
        <v>1828</v>
      </c>
      <c r="I15" t="s">
        <v>2668</v>
      </c>
    </row>
    <row r="16" spans="1:9" ht="15" customHeight="1" x14ac:dyDescent="0.3">
      <c r="A16" t="s">
        <v>927</v>
      </c>
      <c r="B16" t="s">
        <v>1585</v>
      </c>
      <c r="C16">
        <v>15</v>
      </c>
      <c r="D16" t="s">
        <v>0</v>
      </c>
      <c r="E16" t="s">
        <v>1339</v>
      </c>
      <c r="F16" t="s">
        <v>883</v>
      </c>
      <c r="G16" t="s">
        <v>2667</v>
      </c>
      <c r="H16" t="s">
        <v>1832</v>
      </c>
      <c r="I16" t="s">
        <v>2668</v>
      </c>
    </row>
    <row r="17" spans="1:9" ht="15" customHeight="1" x14ac:dyDescent="0.3">
      <c r="A17" t="s">
        <v>928</v>
      </c>
      <c r="B17" t="s">
        <v>1585</v>
      </c>
      <c r="C17">
        <v>16</v>
      </c>
      <c r="D17" t="s">
        <v>0</v>
      </c>
      <c r="E17" t="s">
        <v>1340</v>
      </c>
      <c r="F17" t="s">
        <v>883</v>
      </c>
      <c r="G17" t="s">
        <v>2667</v>
      </c>
      <c r="H17" t="s">
        <v>1836</v>
      </c>
      <c r="I17" t="s">
        <v>2668</v>
      </c>
    </row>
    <row r="18" spans="1:9" ht="15" customHeight="1" x14ac:dyDescent="0.3">
      <c r="A18" t="s">
        <v>929</v>
      </c>
      <c r="B18" t="s">
        <v>1585</v>
      </c>
      <c r="C18">
        <v>17</v>
      </c>
      <c r="D18" t="s">
        <v>0</v>
      </c>
      <c r="E18" t="s">
        <v>1341</v>
      </c>
      <c r="F18" t="s">
        <v>883</v>
      </c>
      <c r="G18" t="s">
        <v>2667</v>
      </c>
      <c r="H18" t="s">
        <v>1840</v>
      </c>
      <c r="I18" t="s">
        <v>2668</v>
      </c>
    </row>
    <row r="19" spans="1:9" ht="15" customHeight="1" x14ac:dyDescent="0.3">
      <c r="A19" t="s">
        <v>930</v>
      </c>
      <c r="B19" t="s">
        <v>1585</v>
      </c>
      <c r="C19">
        <v>18</v>
      </c>
      <c r="D19" t="s">
        <v>0</v>
      </c>
      <c r="E19" t="s">
        <v>1342</v>
      </c>
      <c r="F19" t="s">
        <v>883</v>
      </c>
      <c r="G19" t="s">
        <v>2667</v>
      </c>
      <c r="H19" t="s">
        <v>1844</v>
      </c>
      <c r="I19" t="s">
        <v>2668</v>
      </c>
    </row>
    <row r="20" spans="1:9" ht="15" customHeight="1" x14ac:dyDescent="0.3">
      <c r="A20" t="s">
        <v>931</v>
      </c>
      <c r="B20" t="s">
        <v>1585</v>
      </c>
      <c r="C20">
        <v>19</v>
      </c>
      <c r="D20" t="s">
        <v>0</v>
      </c>
      <c r="E20" t="s">
        <v>1343</v>
      </c>
      <c r="F20" t="s">
        <v>883</v>
      </c>
      <c r="G20" t="s">
        <v>2667</v>
      </c>
      <c r="H20" t="s">
        <v>1848</v>
      </c>
      <c r="I20" t="s">
        <v>2668</v>
      </c>
    </row>
    <row r="21" spans="1:9" ht="15" customHeight="1" x14ac:dyDescent="0.3">
      <c r="A21" t="s">
        <v>932</v>
      </c>
      <c r="B21" t="s">
        <v>1585</v>
      </c>
      <c r="C21">
        <v>20</v>
      </c>
      <c r="D21" t="s">
        <v>0</v>
      </c>
      <c r="E21" t="s">
        <v>1344</v>
      </c>
      <c r="F21" t="s">
        <v>883</v>
      </c>
      <c r="G21" t="s">
        <v>2667</v>
      </c>
      <c r="H21" t="s">
        <v>1852</v>
      </c>
      <c r="I21" t="s">
        <v>2668</v>
      </c>
    </row>
    <row r="22" spans="1:9" ht="15" customHeight="1" x14ac:dyDescent="0.3">
      <c r="A22" t="s">
        <v>933</v>
      </c>
      <c r="B22" t="s">
        <v>1585</v>
      </c>
      <c r="C22">
        <v>21</v>
      </c>
      <c r="D22" t="s">
        <v>0</v>
      </c>
      <c r="E22" t="s">
        <v>1345</v>
      </c>
      <c r="F22" t="s">
        <v>883</v>
      </c>
      <c r="G22" t="s">
        <v>2667</v>
      </c>
      <c r="H22" t="s">
        <v>1856</v>
      </c>
      <c r="I22" t="s">
        <v>2668</v>
      </c>
    </row>
    <row r="23" spans="1:9" ht="15" customHeight="1" x14ac:dyDescent="0.3">
      <c r="A23" t="s">
        <v>934</v>
      </c>
      <c r="B23" t="s">
        <v>1585</v>
      </c>
      <c r="C23">
        <v>22</v>
      </c>
      <c r="D23" t="s">
        <v>0</v>
      </c>
      <c r="E23" t="s">
        <v>1346</v>
      </c>
      <c r="F23" t="s">
        <v>883</v>
      </c>
      <c r="G23" t="s">
        <v>2667</v>
      </c>
      <c r="H23" t="s">
        <v>1860</v>
      </c>
      <c r="I23" t="s">
        <v>2668</v>
      </c>
    </row>
    <row r="24" spans="1:9" ht="15" customHeight="1" x14ac:dyDescent="0.3">
      <c r="A24" t="s">
        <v>935</v>
      </c>
      <c r="B24" t="s">
        <v>1585</v>
      </c>
      <c r="C24">
        <v>23</v>
      </c>
      <c r="D24" t="s">
        <v>0</v>
      </c>
      <c r="E24" t="s">
        <v>1347</v>
      </c>
      <c r="F24" t="s">
        <v>883</v>
      </c>
      <c r="G24" t="s">
        <v>2667</v>
      </c>
      <c r="H24" t="s">
        <v>1864</v>
      </c>
      <c r="I24" t="s">
        <v>2668</v>
      </c>
    </row>
    <row r="25" spans="1:9" ht="15" customHeight="1" x14ac:dyDescent="0.3">
      <c r="A25" t="s">
        <v>1455</v>
      </c>
      <c r="B25" t="s">
        <v>1585</v>
      </c>
      <c r="C25">
        <v>24</v>
      </c>
      <c r="D25" t="s">
        <v>0</v>
      </c>
      <c r="E25" t="s">
        <v>1348</v>
      </c>
      <c r="F25" t="s">
        <v>883</v>
      </c>
      <c r="G25" t="s">
        <v>2667</v>
      </c>
      <c r="H25" t="s">
        <v>1868</v>
      </c>
      <c r="I25" t="s">
        <v>2668</v>
      </c>
    </row>
    <row r="26" spans="1:9" ht="15" customHeight="1" x14ac:dyDescent="0.3">
      <c r="A26" t="s">
        <v>1456</v>
      </c>
      <c r="B26" t="s">
        <v>1585</v>
      </c>
      <c r="C26">
        <v>25</v>
      </c>
      <c r="D26" t="s">
        <v>0</v>
      </c>
      <c r="E26" t="s">
        <v>1349</v>
      </c>
      <c r="F26" t="s">
        <v>883</v>
      </c>
      <c r="G26" t="s">
        <v>2667</v>
      </c>
      <c r="H26" t="s">
        <v>1872</v>
      </c>
      <c r="I26" t="s">
        <v>2668</v>
      </c>
    </row>
    <row r="27" spans="1:9" ht="15" customHeight="1" x14ac:dyDescent="0.3">
      <c r="A27" t="s">
        <v>1457</v>
      </c>
      <c r="B27" t="s">
        <v>1585</v>
      </c>
      <c r="C27">
        <v>26</v>
      </c>
      <c r="D27" t="s">
        <v>0</v>
      </c>
      <c r="E27" t="s">
        <v>1350</v>
      </c>
      <c r="F27" t="s">
        <v>883</v>
      </c>
      <c r="G27" t="s">
        <v>2667</v>
      </c>
      <c r="H27" t="s">
        <v>1876</v>
      </c>
      <c r="I27" t="s">
        <v>2668</v>
      </c>
    </row>
    <row r="28" spans="1:9" ht="15" customHeight="1" x14ac:dyDescent="0.3">
      <c r="A28" t="s">
        <v>1458</v>
      </c>
      <c r="B28" t="s">
        <v>1585</v>
      </c>
      <c r="C28">
        <v>27</v>
      </c>
      <c r="D28" t="s">
        <v>0</v>
      </c>
      <c r="E28" t="s">
        <v>1351</v>
      </c>
      <c r="F28" t="s">
        <v>883</v>
      </c>
      <c r="G28" t="s">
        <v>2667</v>
      </c>
      <c r="H28" t="s">
        <v>1880</v>
      </c>
      <c r="I28" t="s">
        <v>2668</v>
      </c>
    </row>
    <row r="29" spans="1:9" ht="15" customHeight="1" x14ac:dyDescent="0.3">
      <c r="A29" t="s">
        <v>1459</v>
      </c>
      <c r="B29" t="s">
        <v>1585</v>
      </c>
      <c r="C29">
        <v>28</v>
      </c>
      <c r="D29" t="s">
        <v>0</v>
      </c>
      <c r="E29" t="s">
        <v>1352</v>
      </c>
      <c r="F29" t="s">
        <v>883</v>
      </c>
      <c r="G29" t="s">
        <v>2667</v>
      </c>
      <c r="H29" t="s">
        <v>1884</v>
      </c>
      <c r="I29" t="s">
        <v>2668</v>
      </c>
    </row>
    <row r="30" spans="1:9" ht="15" customHeight="1" x14ac:dyDescent="0.3">
      <c r="A30" t="s">
        <v>1460</v>
      </c>
      <c r="B30" t="s">
        <v>1585</v>
      </c>
      <c r="C30">
        <v>29</v>
      </c>
      <c r="D30" t="s">
        <v>0</v>
      </c>
      <c r="E30" t="s">
        <v>1353</v>
      </c>
      <c r="F30" t="s">
        <v>883</v>
      </c>
      <c r="G30" t="s">
        <v>2667</v>
      </c>
      <c r="H30" t="s">
        <v>1888</v>
      </c>
      <c r="I30" t="s">
        <v>2668</v>
      </c>
    </row>
    <row r="31" spans="1:9" ht="15" customHeight="1" x14ac:dyDescent="0.3">
      <c r="A31" t="s">
        <v>1461</v>
      </c>
      <c r="B31" t="s">
        <v>1585</v>
      </c>
      <c r="C31">
        <v>30</v>
      </c>
      <c r="D31" t="s">
        <v>0</v>
      </c>
      <c r="E31" t="s">
        <v>1354</v>
      </c>
      <c r="F31" t="s">
        <v>883</v>
      </c>
      <c r="G31" t="s">
        <v>2667</v>
      </c>
      <c r="H31" t="s">
        <v>1892</v>
      </c>
      <c r="I31" t="s">
        <v>2668</v>
      </c>
    </row>
    <row r="32" spans="1:9" ht="15" customHeight="1" x14ac:dyDescent="0.3">
      <c r="A32" t="s">
        <v>1462</v>
      </c>
      <c r="B32" t="s">
        <v>1585</v>
      </c>
      <c r="C32">
        <v>31</v>
      </c>
      <c r="D32" t="s">
        <v>0</v>
      </c>
      <c r="E32" t="s">
        <v>1355</v>
      </c>
      <c r="F32" t="s">
        <v>883</v>
      </c>
      <c r="G32" t="s">
        <v>2667</v>
      </c>
      <c r="H32" t="s">
        <v>1896</v>
      </c>
      <c r="I32" t="s">
        <v>2668</v>
      </c>
    </row>
    <row r="33" spans="1:9" ht="15" customHeight="1" x14ac:dyDescent="0.3">
      <c r="A33" t="s">
        <v>1463</v>
      </c>
      <c r="B33" t="s">
        <v>1585</v>
      </c>
      <c r="C33">
        <v>32</v>
      </c>
      <c r="D33" t="s">
        <v>0</v>
      </c>
      <c r="E33" t="s">
        <v>1356</v>
      </c>
      <c r="F33" t="s">
        <v>883</v>
      </c>
      <c r="G33" t="s">
        <v>2667</v>
      </c>
      <c r="H33" t="s">
        <v>1900</v>
      </c>
      <c r="I33" t="s">
        <v>2668</v>
      </c>
    </row>
    <row r="34" spans="1:9" ht="15" customHeight="1" x14ac:dyDescent="0.3">
      <c r="A34" t="s">
        <v>1464</v>
      </c>
      <c r="B34" t="s">
        <v>1585</v>
      </c>
      <c r="C34">
        <v>33</v>
      </c>
      <c r="D34" t="s">
        <v>0</v>
      </c>
      <c r="E34" t="s">
        <v>1357</v>
      </c>
      <c r="F34" t="s">
        <v>883</v>
      </c>
      <c r="G34" t="s">
        <v>2667</v>
      </c>
      <c r="H34" t="s">
        <v>1904</v>
      </c>
      <c r="I34" t="s">
        <v>2668</v>
      </c>
    </row>
    <row r="35" spans="1:9" ht="15" customHeight="1" x14ac:dyDescent="0.3">
      <c r="A35" t="s">
        <v>1465</v>
      </c>
      <c r="B35" t="s">
        <v>1585</v>
      </c>
      <c r="C35">
        <v>34</v>
      </c>
      <c r="D35" t="s">
        <v>0</v>
      </c>
      <c r="E35" t="s">
        <v>1358</v>
      </c>
      <c r="F35" t="s">
        <v>883</v>
      </c>
      <c r="G35" t="s">
        <v>2667</v>
      </c>
      <c r="H35" t="s">
        <v>1908</v>
      </c>
      <c r="I35" t="s">
        <v>2668</v>
      </c>
    </row>
    <row r="36" spans="1:9" ht="15" customHeight="1" x14ac:dyDescent="0.3">
      <c r="A36" t="s">
        <v>1466</v>
      </c>
      <c r="B36" t="s">
        <v>1585</v>
      </c>
      <c r="C36">
        <v>35</v>
      </c>
      <c r="D36" t="s">
        <v>0</v>
      </c>
      <c r="E36" t="s">
        <v>1359</v>
      </c>
      <c r="F36" t="s">
        <v>883</v>
      </c>
      <c r="G36" t="s">
        <v>2667</v>
      </c>
      <c r="H36" t="s">
        <v>1912</v>
      </c>
      <c r="I36" t="s">
        <v>2668</v>
      </c>
    </row>
    <row r="37" spans="1:9" ht="15" customHeight="1" x14ac:dyDescent="0.3">
      <c r="A37" t="s">
        <v>949</v>
      </c>
      <c r="B37" t="s">
        <v>1585</v>
      </c>
      <c r="C37">
        <v>36</v>
      </c>
      <c r="D37" t="s">
        <v>0</v>
      </c>
      <c r="E37" t="s">
        <v>1360</v>
      </c>
      <c r="F37" t="s">
        <v>883</v>
      </c>
      <c r="G37" t="s">
        <v>2667</v>
      </c>
      <c r="H37" t="s">
        <v>1916</v>
      </c>
      <c r="I37" t="s">
        <v>2668</v>
      </c>
    </row>
    <row r="38" spans="1:9" ht="15" customHeight="1" x14ac:dyDescent="0.3">
      <c r="A38" t="s">
        <v>952</v>
      </c>
      <c r="B38" t="s">
        <v>1585</v>
      </c>
      <c r="C38">
        <v>37</v>
      </c>
      <c r="D38" t="s">
        <v>0</v>
      </c>
      <c r="E38" t="s">
        <v>1361</v>
      </c>
      <c r="F38" t="s">
        <v>883</v>
      </c>
      <c r="G38" t="s">
        <v>2667</v>
      </c>
      <c r="H38" t="s">
        <v>1920</v>
      </c>
      <c r="I38" t="s">
        <v>2668</v>
      </c>
    </row>
    <row r="39" spans="1:9" ht="15" customHeight="1" x14ac:dyDescent="0.3">
      <c r="A39" t="s">
        <v>953</v>
      </c>
      <c r="B39" t="s">
        <v>1585</v>
      </c>
      <c r="C39">
        <v>38</v>
      </c>
      <c r="D39" t="s">
        <v>0</v>
      </c>
      <c r="E39" t="s">
        <v>1362</v>
      </c>
      <c r="F39" t="s">
        <v>883</v>
      </c>
      <c r="G39" t="s">
        <v>2667</v>
      </c>
      <c r="H39" t="s">
        <v>1924</v>
      </c>
      <c r="I39" t="s">
        <v>2668</v>
      </c>
    </row>
    <row r="40" spans="1:9" ht="15" customHeight="1" x14ac:dyDescent="0.3">
      <c r="A40" t="s">
        <v>954</v>
      </c>
      <c r="B40" t="s">
        <v>1585</v>
      </c>
      <c r="C40">
        <v>39</v>
      </c>
      <c r="D40" t="s">
        <v>0</v>
      </c>
      <c r="E40" t="s">
        <v>1363</v>
      </c>
      <c r="F40" t="s">
        <v>883</v>
      </c>
      <c r="G40" t="s">
        <v>2667</v>
      </c>
      <c r="H40" t="s">
        <v>1928</v>
      </c>
      <c r="I40" t="s">
        <v>2668</v>
      </c>
    </row>
    <row r="41" spans="1:9" ht="15" customHeight="1" x14ac:dyDescent="0.3">
      <c r="A41" t="s">
        <v>958</v>
      </c>
      <c r="B41" t="s">
        <v>1585</v>
      </c>
      <c r="C41">
        <v>40</v>
      </c>
      <c r="D41" t="s">
        <v>0</v>
      </c>
      <c r="E41" t="s">
        <v>1364</v>
      </c>
      <c r="F41" t="s">
        <v>883</v>
      </c>
      <c r="G41" t="s">
        <v>2667</v>
      </c>
      <c r="H41" t="s">
        <v>1932</v>
      </c>
      <c r="I41" t="s">
        <v>2668</v>
      </c>
    </row>
    <row r="42" spans="1:9" ht="15" customHeight="1" x14ac:dyDescent="0.3">
      <c r="A42" t="s">
        <v>959</v>
      </c>
      <c r="B42" t="s">
        <v>1585</v>
      </c>
      <c r="C42">
        <v>41</v>
      </c>
      <c r="D42" t="s">
        <v>0</v>
      </c>
      <c r="E42" t="s">
        <v>1365</v>
      </c>
      <c r="F42" t="s">
        <v>883</v>
      </c>
      <c r="G42" t="s">
        <v>2667</v>
      </c>
      <c r="H42" t="s">
        <v>1936</v>
      </c>
      <c r="I42" t="s">
        <v>2668</v>
      </c>
    </row>
    <row r="43" spans="1:9" ht="15" customHeight="1" x14ac:dyDescent="0.3">
      <c r="A43" t="s">
        <v>960</v>
      </c>
      <c r="B43" t="s">
        <v>1585</v>
      </c>
      <c r="C43">
        <v>42</v>
      </c>
      <c r="D43" t="s">
        <v>0</v>
      </c>
      <c r="E43" t="s">
        <v>1366</v>
      </c>
      <c r="F43" t="s">
        <v>883</v>
      </c>
      <c r="G43" t="s">
        <v>2667</v>
      </c>
      <c r="H43" t="s">
        <v>1940</v>
      </c>
      <c r="I43" t="s">
        <v>2668</v>
      </c>
    </row>
    <row r="44" spans="1:9" ht="15" customHeight="1" x14ac:dyDescent="0.3">
      <c r="A44" t="s">
        <v>961</v>
      </c>
      <c r="B44" t="s">
        <v>1585</v>
      </c>
      <c r="C44">
        <v>43</v>
      </c>
      <c r="D44" t="s">
        <v>0</v>
      </c>
      <c r="E44" t="s">
        <v>1367</v>
      </c>
      <c r="F44" t="s">
        <v>883</v>
      </c>
      <c r="G44" t="s">
        <v>2667</v>
      </c>
      <c r="H44" t="s">
        <v>1944</v>
      </c>
      <c r="I44" t="s">
        <v>2668</v>
      </c>
    </row>
    <row r="45" spans="1:9" ht="15" customHeight="1" x14ac:dyDescent="0.3">
      <c r="A45" t="s">
        <v>962</v>
      </c>
      <c r="B45" t="s">
        <v>1585</v>
      </c>
      <c r="C45">
        <v>44</v>
      </c>
      <c r="D45" t="s">
        <v>0</v>
      </c>
      <c r="E45" t="s">
        <v>1368</v>
      </c>
      <c r="F45" t="s">
        <v>883</v>
      </c>
      <c r="G45" t="s">
        <v>2667</v>
      </c>
      <c r="H45" t="s">
        <v>1948</v>
      </c>
      <c r="I45" t="s">
        <v>2668</v>
      </c>
    </row>
    <row r="46" spans="1:9" ht="15" customHeight="1" x14ac:dyDescent="0.3">
      <c r="A46" t="s">
        <v>963</v>
      </c>
      <c r="B46" t="s">
        <v>1585</v>
      </c>
      <c r="C46">
        <v>45</v>
      </c>
      <c r="D46" t="s">
        <v>0</v>
      </c>
      <c r="E46" t="s">
        <v>1369</v>
      </c>
      <c r="F46" t="s">
        <v>883</v>
      </c>
      <c r="G46" t="s">
        <v>2667</v>
      </c>
      <c r="H46" t="s">
        <v>1952</v>
      </c>
      <c r="I46" t="s">
        <v>2668</v>
      </c>
    </row>
    <row r="47" spans="1:9" ht="15" customHeight="1" x14ac:dyDescent="0.3">
      <c r="A47" t="s">
        <v>967</v>
      </c>
      <c r="B47" t="s">
        <v>1585</v>
      </c>
      <c r="C47">
        <v>46</v>
      </c>
      <c r="D47" t="s">
        <v>0</v>
      </c>
      <c r="E47" t="s">
        <v>1370</v>
      </c>
      <c r="F47" t="s">
        <v>883</v>
      </c>
      <c r="G47" t="s">
        <v>2667</v>
      </c>
      <c r="H47" t="s">
        <v>1956</v>
      </c>
      <c r="I47" t="s">
        <v>2668</v>
      </c>
    </row>
    <row r="48" spans="1:9" ht="15" customHeight="1" x14ac:dyDescent="0.3">
      <c r="A48" t="s">
        <v>968</v>
      </c>
      <c r="B48" t="s">
        <v>1585</v>
      </c>
      <c r="C48">
        <v>47</v>
      </c>
      <c r="D48" t="s">
        <v>0</v>
      </c>
      <c r="E48" t="s">
        <v>1371</v>
      </c>
      <c r="F48" t="s">
        <v>883</v>
      </c>
      <c r="G48" t="s">
        <v>2667</v>
      </c>
      <c r="H48" t="s">
        <v>1960</v>
      </c>
      <c r="I48" t="s">
        <v>2668</v>
      </c>
    </row>
    <row r="49" spans="1:9" ht="15" customHeight="1" x14ac:dyDescent="0.3">
      <c r="A49" t="s">
        <v>969</v>
      </c>
      <c r="B49" t="s">
        <v>1585</v>
      </c>
      <c r="C49">
        <v>48</v>
      </c>
      <c r="D49" t="s">
        <v>0</v>
      </c>
      <c r="E49" t="s">
        <v>1372</v>
      </c>
      <c r="F49" t="s">
        <v>883</v>
      </c>
      <c r="G49" t="s">
        <v>2667</v>
      </c>
      <c r="H49" t="s">
        <v>1964</v>
      </c>
      <c r="I49" t="s">
        <v>2668</v>
      </c>
    </row>
    <row r="50" spans="1:9" ht="15" customHeight="1" x14ac:dyDescent="0.3">
      <c r="A50" t="s">
        <v>970</v>
      </c>
      <c r="B50" t="s">
        <v>1585</v>
      </c>
      <c r="C50">
        <v>49</v>
      </c>
      <c r="D50" t="s">
        <v>0</v>
      </c>
      <c r="E50" t="s">
        <v>1373</v>
      </c>
      <c r="F50" t="s">
        <v>883</v>
      </c>
      <c r="G50" t="s">
        <v>2667</v>
      </c>
      <c r="H50" t="s">
        <v>1968</v>
      </c>
      <c r="I50" t="s">
        <v>2668</v>
      </c>
    </row>
    <row r="51" spans="1:9" ht="15" customHeight="1" x14ac:dyDescent="0.3">
      <c r="A51" t="s">
        <v>971</v>
      </c>
      <c r="B51" t="s">
        <v>1585</v>
      </c>
      <c r="C51">
        <v>50</v>
      </c>
      <c r="D51" t="s">
        <v>0</v>
      </c>
      <c r="E51" t="s">
        <v>1374</v>
      </c>
      <c r="F51" t="s">
        <v>883</v>
      </c>
      <c r="G51" t="s">
        <v>2667</v>
      </c>
      <c r="H51" t="s">
        <v>1972</v>
      </c>
      <c r="I51" t="s">
        <v>2668</v>
      </c>
    </row>
    <row r="52" spans="1:9" ht="15" customHeight="1" x14ac:dyDescent="0.3">
      <c r="A52" t="s">
        <v>972</v>
      </c>
      <c r="B52" t="s">
        <v>1585</v>
      </c>
      <c r="C52">
        <v>51</v>
      </c>
      <c r="D52" t="s">
        <v>0</v>
      </c>
      <c r="E52" t="s">
        <v>1375</v>
      </c>
      <c r="F52" t="s">
        <v>883</v>
      </c>
      <c r="G52" t="s">
        <v>2667</v>
      </c>
      <c r="H52" t="s">
        <v>1976</v>
      </c>
      <c r="I52" t="s">
        <v>2668</v>
      </c>
    </row>
    <row r="53" spans="1:9" ht="15" customHeight="1" x14ac:dyDescent="0.3">
      <c r="A53" t="s">
        <v>1588</v>
      </c>
      <c r="B53" t="s">
        <v>1585</v>
      </c>
      <c r="C53">
        <v>52</v>
      </c>
      <c r="D53" t="s">
        <v>0</v>
      </c>
      <c r="E53" t="s">
        <v>1626</v>
      </c>
      <c r="F53" t="s">
        <v>883</v>
      </c>
      <c r="G53" t="s">
        <v>2667</v>
      </c>
      <c r="H53" t="s">
        <v>1980</v>
      </c>
      <c r="I53" t="s">
        <v>2668</v>
      </c>
    </row>
    <row r="54" spans="1:9" ht="15" customHeight="1" x14ac:dyDescent="0.3">
      <c r="A54" t="s">
        <v>1589</v>
      </c>
      <c r="B54" t="s">
        <v>1585</v>
      </c>
      <c r="C54">
        <v>53</v>
      </c>
      <c r="D54" t="s">
        <v>0</v>
      </c>
      <c r="E54" t="s">
        <v>1627</v>
      </c>
      <c r="F54" t="s">
        <v>883</v>
      </c>
      <c r="G54" t="s">
        <v>2667</v>
      </c>
      <c r="H54" t="s">
        <v>1984</v>
      </c>
      <c r="I54" t="s">
        <v>2668</v>
      </c>
    </row>
    <row r="55" spans="1:9" ht="15" customHeight="1" x14ac:dyDescent="0.3">
      <c r="A55" t="s">
        <v>1590</v>
      </c>
      <c r="B55" t="s">
        <v>1585</v>
      </c>
      <c r="C55">
        <v>54</v>
      </c>
      <c r="D55" t="s">
        <v>0</v>
      </c>
      <c r="E55" t="s">
        <v>1628</v>
      </c>
      <c r="F55" t="s">
        <v>883</v>
      </c>
      <c r="G55" t="s">
        <v>2667</v>
      </c>
      <c r="H55" t="s">
        <v>1988</v>
      </c>
      <c r="I55" t="s">
        <v>2668</v>
      </c>
    </row>
    <row r="56" spans="1:9" ht="15" customHeight="1" x14ac:dyDescent="0.3">
      <c r="A56" t="s">
        <v>1591</v>
      </c>
      <c r="B56" t="s">
        <v>1585</v>
      </c>
      <c r="C56">
        <v>55</v>
      </c>
      <c r="D56" t="s">
        <v>0</v>
      </c>
      <c r="E56" t="s">
        <v>1629</v>
      </c>
      <c r="F56" t="s">
        <v>883</v>
      </c>
      <c r="G56" t="s">
        <v>2667</v>
      </c>
      <c r="H56" t="s">
        <v>1992</v>
      </c>
      <c r="I56" t="s">
        <v>2668</v>
      </c>
    </row>
    <row r="57" spans="1:9" ht="15" customHeight="1" x14ac:dyDescent="0.3">
      <c r="A57" t="s">
        <v>1592</v>
      </c>
      <c r="B57" t="s">
        <v>1585</v>
      </c>
      <c r="C57">
        <v>56</v>
      </c>
      <c r="D57" t="s">
        <v>0</v>
      </c>
      <c r="E57" t="s">
        <v>1630</v>
      </c>
      <c r="F57" t="s">
        <v>883</v>
      </c>
      <c r="G57" t="s">
        <v>2667</v>
      </c>
      <c r="H57" t="s">
        <v>1996</v>
      </c>
      <c r="I57" t="s">
        <v>2668</v>
      </c>
    </row>
    <row r="58" spans="1:9" ht="15" customHeight="1" x14ac:dyDescent="0.3">
      <c r="A58" t="s">
        <v>1593</v>
      </c>
      <c r="B58" t="s">
        <v>1585</v>
      </c>
      <c r="C58">
        <v>57</v>
      </c>
      <c r="D58" t="s">
        <v>0</v>
      </c>
      <c r="E58" t="s">
        <v>1631</v>
      </c>
      <c r="F58" t="s">
        <v>883</v>
      </c>
      <c r="G58" t="s">
        <v>2667</v>
      </c>
      <c r="H58" t="s">
        <v>2000</v>
      </c>
      <c r="I58" t="s">
        <v>2668</v>
      </c>
    </row>
    <row r="59" spans="1:9" ht="15" customHeight="1" x14ac:dyDescent="0.3">
      <c r="A59" t="s">
        <v>1594</v>
      </c>
      <c r="B59" t="s">
        <v>1585</v>
      </c>
      <c r="C59">
        <v>58</v>
      </c>
      <c r="D59" t="s">
        <v>0</v>
      </c>
      <c r="E59" t="s">
        <v>1632</v>
      </c>
      <c r="F59" t="s">
        <v>883</v>
      </c>
      <c r="G59" t="s">
        <v>2667</v>
      </c>
      <c r="H59" t="s">
        <v>2004</v>
      </c>
      <c r="I59" t="s">
        <v>2668</v>
      </c>
    </row>
    <row r="60" spans="1:9" ht="15" customHeight="1" x14ac:dyDescent="0.3">
      <c r="A60" t="s">
        <v>1595</v>
      </c>
      <c r="B60" t="s">
        <v>1585</v>
      </c>
      <c r="C60">
        <v>59</v>
      </c>
      <c r="D60" t="s">
        <v>0</v>
      </c>
      <c r="E60" t="s">
        <v>1633</v>
      </c>
      <c r="F60" t="s">
        <v>883</v>
      </c>
      <c r="G60" t="s">
        <v>2667</v>
      </c>
      <c r="H60" t="s">
        <v>2008</v>
      </c>
      <c r="I60" t="s">
        <v>2668</v>
      </c>
    </row>
    <row r="61" spans="1:9" ht="15" customHeight="1" x14ac:dyDescent="0.3">
      <c r="A61" t="s">
        <v>1596</v>
      </c>
      <c r="B61" t="s">
        <v>1585</v>
      </c>
      <c r="C61">
        <v>60</v>
      </c>
      <c r="D61" t="s">
        <v>0</v>
      </c>
      <c r="E61" t="s">
        <v>1634</v>
      </c>
      <c r="F61" t="s">
        <v>883</v>
      </c>
      <c r="G61" t="s">
        <v>2667</v>
      </c>
      <c r="H61" t="s">
        <v>2012</v>
      </c>
      <c r="I61" t="s">
        <v>2668</v>
      </c>
    </row>
    <row r="62" spans="1:9" ht="15" customHeight="1" x14ac:dyDescent="0.3">
      <c r="A62" t="s">
        <v>1106</v>
      </c>
      <c r="B62" t="s">
        <v>1585</v>
      </c>
      <c r="C62">
        <v>1</v>
      </c>
      <c r="D62" t="s">
        <v>0</v>
      </c>
      <c r="E62" t="s">
        <v>1574</v>
      </c>
      <c r="F62" t="s">
        <v>883</v>
      </c>
      <c r="G62" t="s">
        <v>2669</v>
      </c>
      <c r="H62" t="s">
        <v>2016</v>
      </c>
      <c r="I62" t="s">
        <v>2670</v>
      </c>
    </row>
    <row r="63" spans="1:9" ht="15" customHeight="1" x14ac:dyDescent="0.3">
      <c r="A63" t="s">
        <v>1110</v>
      </c>
      <c r="B63" t="s">
        <v>1585</v>
      </c>
      <c r="C63">
        <v>2</v>
      </c>
      <c r="D63" t="s">
        <v>0</v>
      </c>
      <c r="E63" t="s">
        <v>1575</v>
      </c>
      <c r="F63" t="s">
        <v>883</v>
      </c>
      <c r="G63" t="s">
        <v>2669</v>
      </c>
      <c r="H63" t="s">
        <v>2020</v>
      </c>
      <c r="I63" t="s">
        <v>2670</v>
      </c>
    </row>
    <row r="64" spans="1:9" ht="15" customHeight="1" x14ac:dyDescent="0.3">
      <c r="A64" t="s">
        <v>1112</v>
      </c>
      <c r="B64" t="s">
        <v>1585</v>
      </c>
      <c r="C64">
        <v>3</v>
      </c>
      <c r="D64" t="s">
        <v>0</v>
      </c>
      <c r="E64" t="s">
        <v>1576</v>
      </c>
      <c r="F64" t="s">
        <v>883</v>
      </c>
      <c r="G64" t="s">
        <v>2669</v>
      </c>
      <c r="H64" t="s">
        <v>2024</v>
      </c>
      <c r="I64" t="s">
        <v>2670</v>
      </c>
    </row>
    <row r="65" spans="1:9" ht="15" customHeight="1" x14ac:dyDescent="0.3">
      <c r="A65" t="s">
        <v>1113</v>
      </c>
      <c r="B65" t="s">
        <v>1585</v>
      </c>
      <c r="C65">
        <v>4</v>
      </c>
      <c r="D65" t="s">
        <v>0</v>
      </c>
      <c r="E65" t="s">
        <v>1577</v>
      </c>
      <c r="F65" t="s">
        <v>883</v>
      </c>
      <c r="G65" t="s">
        <v>2669</v>
      </c>
      <c r="H65" t="s">
        <v>2028</v>
      </c>
      <c r="I65" t="s">
        <v>2670</v>
      </c>
    </row>
    <row r="66" spans="1:9" ht="15" customHeight="1" x14ac:dyDescent="0.3">
      <c r="A66" t="s">
        <v>1114</v>
      </c>
      <c r="B66" t="s">
        <v>1585</v>
      </c>
      <c r="C66">
        <v>5</v>
      </c>
      <c r="D66" t="s">
        <v>0</v>
      </c>
      <c r="E66" t="s">
        <v>1578</v>
      </c>
      <c r="F66" t="s">
        <v>883</v>
      </c>
      <c r="G66" t="s">
        <v>2669</v>
      </c>
      <c r="H66" t="s">
        <v>2032</v>
      </c>
      <c r="I66" t="s">
        <v>2670</v>
      </c>
    </row>
    <row r="67" spans="1:9" ht="15" customHeight="1" x14ac:dyDescent="0.3">
      <c r="A67" t="s">
        <v>1115</v>
      </c>
      <c r="B67" t="s">
        <v>1585</v>
      </c>
      <c r="C67">
        <v>6</v>
      </c>
      <c r="D67" t="s">
        <v>0</v>
      </c>
      <c r="E67" t="s">
        <v>1579</v>
      </c>
      <c r="F67" t="s">
        <v>883</v>
      </c>
      <c r="G67" t="s">
        <v>2669</v>
      </c>
      <c r="H67" t="s">
        <v>2036</v>
      </c>
      <c r="I67" t="s">
        <v>2670</v>
      </c>
    </row>
    <row r="68" spans="1:9" ht="15" customHeight="1" x14ac:dyDescent="0.3">
      <c r="A68" t="s">
        <v>1481</v>
      </c>
      <c r="B68" t="s">
        <v>1585</v>
      </c>
      <c r="C68">
        <v>7</v>
      </c>
      <c r="D68" t="s">
        <v>0</v>
      </c>
      <c r="E68" t="s">
        <v>1586</v>
      </c>
      <c r="F68" t="s">
        <v>883</v>
      </c>
      <c r="G68" t="s">
        <v>2669</v>
      </c>
      <c r="H68" t="s">
        <v>2040</v>
      </c>
      <c r="I68" t="s">
        <v>2670</v>
      </c>
    </row>
    <row r="69" spans="1:9" ht="15" customHeight="1" x14ac:dyDescent="0.3">
      <c r="A69" t="s">
        <v>1483</v>
      </c>
      <c r="B69" t="s">
        <v>1585</v>
      </c>
      <c r="C69">
        <v>8</v>
      </c>
      <c r="D69" t="s">
        <v>0</v>
      </c>
      <c r="E69" t="s">
        <v>1587</v>
      </c>
      <c r="F69" t="s">
        <v>883</v>
      </c>
      <c r="G69" t="s">
        <v>2669</v>
      </c>
      <c r="H69" t="s">
        <v>2044</v>
      </c>
      <c r="I69" t="s">
        <v>2670</v>
      </c>
    </row>
    <row r="70" spans="1:9" ht="15" customHeight="1" x14ac:dyDescent="0.3">
      <c r="A70" t="s">
        <v>1472</v>
      </c>
      <c r="B70" t="s">
        <v>1585</v>
      </c>
      <c r="C70">
        <v>1</v>
      </c>
      <c r="D70" t="s">
        <v>0</v>
      </c>
      <c r="E70" t="s">
        <v>884</v>
      </c>
      <c r="F70" t="s">
        <v>883</v>
      </c>
      <c r="G70" t="s">
        <v>2671</v>
      </c>
      <c r="H70" t="s">
        <v>2048</v>
      </c>
      <c r="I70" t="s">
        <v>2672</v>
      </c>
    </row>
    <row r="71" spans="1:9" ht="15" customHeight="1" x14ac:dyDescent="0.3">
      <c r="A71" t="s">
        <v>1473</v>
      </c>
      <c r="B71" t="s">
        <v>1585</v>
      </c>
      <c r="C71">
        <v>2</v>
      </c>
      <c r="D71" t="s">
        <v>0</v>
      </c>
      <c r="E71" t="s">
        <v>885</v>
      </c>
      <c r="F71" t="s">
        <v>883</v>
      </c>
      <c r="G71" t="s">
        <v>2671</v>
      </c>
      <c r="H71" t="s">
        <v>2052</v>
      </c>
      <c r="I71" t="s">
        <v>2672</v>
      </c>
    </row>
    <row r="72" spans="1:9" ht="15" customHeight="1" x14ac:dyDescent="0.3">
      <c r="A72" t="s">
        <v>1474</v>
      </c>
      <c r="B72" t="s">
        <v>1585</v>
      </c>
      <c r="C72">
        <v>3</v>
      </c>
      <c r="D72" t="s">
        <v>0</v>
      </c>
      <c r="E72" t="s">
        <v>886</v>
      </c>
      <c r="F72" t="s">
        <v>883</v>
      </c>
      <c r="G72" t="s">
        <v>2671</v>
      </c>
      <c r="H72" t="s">
        <v>2056</v>
      </c>
      <c r="I72" t="s">
        <v>2672</v>
      </c>
    </row>
    <row r="73" spans="1:9" ht="15" customHeight="1" x14ac:dyDescent="0.3">
      <c r="A73" t="s">
        <v>1475</v>
      </c>
      <c r="B73" t="s">
        <v>1585</v>
      </c>
      <c r="C73">
        <v>4</v>
      </c>
      <c r="D73" t="s">
        <v>0</v>
      </c>
      <c r="E73" t="s">
        <v>887</v>
      </c>
      <c r="F73" t="s">
        <v>883</v>
      </c>
      <c r="G73" t="s">
        <v>2671</v>
      </c>
      <c r="H73" t="s">
        <v>2060</v>
      </c>
      <c r="I73" t="s">
        <v>2672</v>
      </c>
    </row>
    <row r="74" spans="1:9" ht="15" customHeight="1" x14ac:dyDescent="0.3">
      <c r="A74" t="s">
        <v>1476</v>
      </c>
      <c r="B74" t="s">
        <v>1585</v>
      </c>
      <c r="C74">
        <v>5</v>
      </c>
      <c r="D74" t="s">
        <v>0</v>
      </c>
      <c r="E74" t="s">
        <v>1376</v>
      </c>
      <c r="F74" t="s">
        <v>883</v>
      </c>
      <c r="G74" t="s">
        <v>2671</v>
      </c>
      <c r="H74" t="s">
        <v>2064</v>
      </c>
      <c r="I74" t="s">
        <v>2672</v>
      </c>
    </row>
    <row r="75" spans="1:9" ht="15" customHeight="1" x14ac:dyDescent="0.3">
      <c r="A75" t="s">
        <v>1477</v>
      </c>
      <c r="B75" t="s">
        <v>1585</v>
      </c>
      <c r="C75">
        <v>6</v>
      </c>
      <c r="D75" t="s">
        <v>0</v>
      </c>
      <c r="E75" t="s">
        <v>1377</v>
      </c>
      <c r="F75" t="s">
        <v>883</v>
      </c>
      <c r="G75" t="s">
        <v>2671</v>
      </c>
      <c r="H75" t="s">
        <v>2068</v>
      </c>
      <c r="I75" t="s">
        <v>2672</v>
      </c>
    </row>
    <row r="76" spans="1:9" ht="15" customHeight="1" x14ac:dyDescent="0.3">
      <c r="A76" t="s">
        <v>1478</v>
      </c>
      <c r="B76" t="s">
        <v>1585</v>
      </c>
      <c r="C76">
        <v>7</v>
      </c>
      <c r="D76" t="s">
        <v>0</v>
      </c>
      <c r="E76" t="s">
        <v>1378</v>
      </c>
      <c r="F76" t="s">
        <v>883</v>
      </c>
      <c r="G76" t="s">
        <v>2671</v>
      </c>
      <c r="H76" t="s">
        <v>2072</v>
      </c>
      <c r="I76" t="s">
        <v>2672</v>
      </c>
    </row>
    <row r="77" spans="1:9" ht="15" customHeight="1" x14ac:dyDescent="0.3">
      <c r="A77" t="s">
        <v>1479</v>
      </c>
      <c r="B77" t="s">
        <v>1585</v>
      </c>
      <c r="C77">
        <v>8</v>
      </c>
      <c r="D77" t="s">
        <v>0</v>
      </c>
      <c r="E77" t="s">
        <v>1379</v>
      </c>
      <c r="F77" t="s">
        <v>883</v>
      </c>
      <c r="G77" t="s">
        <v>2671</v>
      </c>
      <c r="H77" t="s">
        <v>2076</v>
      </c>
      <c r="I77" t="s">
        <v>2672</v>
      </c>
    </row>
    <row r="78" spans="1:9" ht="15" customHeight="1" x14ac:dyDescent="0.3">
      <c r="A78" t="s">
        <v>1044</v>
      </c>
      <c r="B78" t="s">
        <v>1585</v>
      </c>
      <c r="C78">
        <v>9</v>
      </c>
      <c r="D78" t="s">
        <v>0</v>
      </c>
      <c r="E78" t="s">
        <v>1380</v>
      </c>
      <c r="F78" t="s">
        <v>883</v>
      </c>
      <c r="G78" t="s">
        <v>2671</v>
      </c>
      <c r="H78" t="s">
        <v>2080</v>
      </c>
      <c r="I78" t="s">
        <v>2672</v>
      </c>
    </row>
    <row r="79" spans="1:9" ht="15" customHeight="1" x14ac:dyDescent="0.3">
      <c r="A79" t="s">
        <v>1046</v>
      </c>
      <c r="B79" t="s">
        <v>1585</v>
      </c>
      <c r="C79">
        <v>10</v>
      </c>
      <c r="D79" t="s">
        <v>0</v>
      </c>
      <c r="E79" t="s">
        <v>1381</v>
      </c>
      <c r="F79" t="s">
        <v>883</v>
      </c>
      <c r="G79" t="s">
        <v>2671</v>
      </c>
      <c r="H79" t="s">
        <v>2084</v>
      </c>
      <c r="I79" t="s">
        <v>2672</v>
      </c>
    </row>
    <row r="80" spans="1:9" ht="15" customHeight="1" x14ac:dyDescent="0.3">
      <c r="A80" t="s">
        <v>1047</v>
      </c>
      <c r="B80" t="s">
        <v>1585</v>
      </c>
      <c r="C80">
        <v>11</v>
      </c>
      <c r="D80" t="s">
        <v>0</v>
      </c>
      <c r="E80" t="s">
        <v>1382</v>
      </c>
      <c r="F80" t="s">
        <v>883</v>
      </c>
      <c r="G80" t="s">
        <v>2671</v>
      </c>
      <c r="H80" t="s">
        <v>2088</v>
      </c>
      <c r="I80" t="s">
        <v>2672</v>
      </c>
    </row>
    <row r="81" spans="1:9" ht="15" customHeight="1" x14ac:dyDescent="0.3">
      <c r="A81" t="s">
        <v>1048</v>
      </c>
      <c r="B81" t="s">
        <v>1585</v>
      </c>
      <c r="C81">
        <v>12</v>
      </c>
      <c r="D81" t="s">
        <v>0</v>
      </c>
      <c r="E81" t="s">
        <v>1383</v>
      </c>
      <c r="F81" t="s">
        <v>883</v>
      </c>
      <c r="G81" t="s">
        <v>2671</v>
      </c>
      <c r="H81" t="s">
        <v>2092</v>
      </c>
      <c r="I81" t="s">
        <v>2672</v>
      </c>
    </row>
    <row r="82" spans="1:9" ht="15" customHeight="1" x14ac:dyDescent="0.3">
      <c r="A82" t="s">
        <v>1049</v>
      </c>
      <c r="B82" t="s">
        <v>1585</v>
      </c>
      <c r="C82">
        <v>13</v>
      </c>
      <c r="D82" t="s">
        <v>0</v>
      </c>
      <c r="E82" t="s">
        <v>1384</v>
      </c>
      <c r="F82" t="s">
        <v>883</v>
      </c>
      <c r="G82" t="s">
        <v>2671</v>
      </c>
      <c r="H82" t="s">
        <v>2096</v>
      </c>
      <c r="I82" t="s">
        <v>2672</v>
      </c>
    </row>
    <row r="83" spans="1:9" ht="15" customHeight="1" x14ac:dyDescent="0.3">
      <c r="A83" t="s">
        <v>1051</v>
      </c>
      <c r="B83" t="s">
        <v>1585</v>
      </c>
      <c r="C83">
        <v>14</v>
      </c>
      <c r="D83" t="s">
        <v>0</v>
      </c>
      <c r="E83" t="s">
        <v>1385</v>
      </c>
      <c r="F83" t="s">
        <v>883</v>
      </c>
      <c r="G83" t="s">
        <v>2671</v>
      </c>
      <c r="H83" t="s">
        <v>2100</v>
      </c>
      <c r="I83" t="s">
        <v>2672</v>
      </c>
    </row>
    <row r="84" spans="1:9" ht="15" customHeight="1" x14ac:dyDescent="0.3">
      <c r="A84" t="s">
        <v>1053</v>
      </c>
      <c r="B84" t="s">
        <v>1585</v>
      </c>
      <c r="C84">
        <v>15</v>
      </c>
      <c r="D84" t="s">
        <v>0</v>
      </c>
      <c r="E84" t="s">
        <v>1386</v>
      </c>
      <c r="F84" t="s">
        <v>883</v>
      </c>
      <c r="G84" t="s">
        <v>2671</v>
      </c>
      <c r="H84" t="s">
        <v>2104</v>
      </c>
      <c r="I84" t="s">
        <v>2672</v>
      </c>
    </row>
    <row r="85" spans="1:9" ht="15" customHeight="1" x14ac:dyDescent="0.3">
      <c r="A85" t="s">
        <v>1054</v>
      </c>
      <c r="B85" t="s">
        <v>1585</v>
      </c>
      <c r="C85">
        <v>16</v>
      </c>
      <c r="D85" t="s">
        <v>0</v>
      </c>
      <c r="E85" t="s">
        <v>1387</v>
      </c>
      <c r="F85" t="s">
        <v>883</v>
      </c>
      <c r="G85" t="s">
        <v>2671</v>
      </c>
      <c r="H85" t="s">
        <v>2108</v>
      </c>
      <c r="I85" t="s">
        <v>2672</v>
      </c>
    </row>
    <row r="86" spans="1:9" ht="15" customHeight="1" x14ac:dyDescent="0.3">
      <c r="A86" t="s">
        <v>1055</v>
      </c>
      <c r="B86" t="s">
        <v>1585</v>
      </c>
      <c r="C86">
        <v>17</v>
      </c>
      <c r="D86" t="s">
        <v>0</v>
      </c>
      <c r="E86" t="s">
        <v>1388</v>
      </c>
      <c r="F86" t="s">
        <v>883</v>
      </c>
      <c r="G86" t="s">
        <v>2671</v>
      </c>
      <c r="H86" t="s">
        <v>2112</v>
      </c>
      <c r="I86" t="s">
        <v>2672</v>
      </c>
    </row>
    <row r="87" spans="1:9" ht="15" customHeight="1" x14ac:dyDescent="0.3">
      <c r="A87" t="s">
        <v>1056</v>
      </c>
      <c r="B87" t="s">
        <v>1585</v>
      </c>
      <c r="C87">
        <v>18</v>
      </c>
      <c r="D87" t="s">
        <v>0</v>
      </c>
      <c r="E87" t="s">
        <v>1389</v>
      </c>
      <c r="F87" t="s">
        <v>883</v>
      </c>
      <c r="G87" t="s">
        <v>2671</v>
      </c>
      <c r="H87" t="s">
        <v>2116</v>
      </c>
      <c r="I87" t="s">
        <v>2672</v>
      </c>
    </row>
    <row r="88" spans="1:9" ht="15" customHeight="1" x14ac:dyDescent="0.3">
      <c r="A88" t="s">
        <v>1057</v>
      </c>
      <c r="B88" t="s">
        <v>1585</v>
      </c>
      <c r="C88">
        <v>19</v>
      </c>
      <c r="D88" t="s">
        <v>0</v>
      </c>
      <c r="E88" t="s">
        <v>1390</v>
      </c>
      <c r="F88" t="s">
        <v>883</v>
      </c>
      <c r="G88" t="s">
        <v>2671</v>
      </c>
      <c r="H88" t="s">
        <v>2120</v>
      </c>
      <c r="I88" t="s">
        <v>2672</v>
      </c>
    </row>
    <row r="89" spans="1:9" ht="15" customHeight="1" x14ac:dyDescent="0.3">
      <c r="A89" t="s">
        <v>1059</v>
      </c>
      <c r="B89" t="s">
        <v>1585</v>
      </c>
      <c r="C89">
        <v>20</v>
      </c>
      <c r="D89" t="s">
        <v>0</v>
      </c>
      <c r="E89" t="s">
        <v>1391</v>
      </c>
      <c r="F89" t="s">
        <v>883</v>
      </c>
      <c r="G89" t="s">
        <v>2671</v>
      </c>
      <c r="H89" t="s">
        <v>2124</v>
      </c>
      <c r="I89" t="s">
        <v>2672</v>
      </c>
    </row>
    <row r="90" spans="1:9" ht="15" customHeight="1" x14ac:dyDescent="0.3">
      <c r="A90" t="s">
        <v>1061</v>
      </c>
      <c r="B90" t="s">
        <v>1585</v>
      </c>
      <c r="C90">
        <v>21</v>
      </c>
      <c r="D90" t="s">
        <v>0</v>
      </c>
      <c r="E90" t="s">
        <v>1392</v>
      </c>
      <c r="F90" t="s">
        <v>883</v>
      </c>
      <c r="G90" t="s">
        <v>2671</v>
      </c>
      <c r="H90" t="s">
        <v>2128</v>
      </c>
      <c r="I90" t="s">
        <v>2672</v>
      </c>
    </row>
    <row r="91" spans="1:9" ht="15" customHeight="1" x14ac:dyDescent="0.3">
      <c r="A91" t="s">
        <v>1062</v>
      </c>
      <c r="B91" t="s">
        <v>1585</v>
      </c>
      <c r="C91">
        <v>22</v>
      </c>
      <c r="D91" t="s">
        <v>0</v>
      </c>
      <c r="E91" t="s">
        <v>1393</v>
      </c>
      <c r="F91" t="s">
        <v>883</v>
      </c>
      <c r="G91" t="s">
        <v>2671</v>
      </c>
      <c r="H91" t="s">
        <v>2132</v>
      </c>
      <c r="I91" t="s">
        <v>2672</v>
      </c>
    </row>
    <row r="92" spans="1:9" ht="15" customHeight="1" x14ac:dyDescent="0.3">
      <c r="A92" t="s">
        <v>1063</v>
      </c>
      <c r="B92" t="s">
        <v>1585</v>
      </c>
      <c r="C92">
        <v>23</v>
      </c>
      <c r="D92" t="s">
        <v>0</v>
      </c>
      <c r="E92" t="s">
        <v>1394</v>
      </c>
      <c r="F92" t="s">
        <v>883</v>
      </c>
      <c r="G92" t="s">
        <v>2671</v>
      </c>
      <c r="H92" t="s">
        <v>2136</v>
      </c>
      <c r="I92" t="s">
        <v>2672</v>
      </c>
    </row>
    <row r="93" spans="1:9" ht="15" customHeight="1" x14ac:dyDescent="0.3">
      <c r="A93" t="s">
        <v>1067</v>
      </c>
      <c r="B93" t="s">
        <v>1585</v>
      </c>
      <c r="C93">
        <v>24</v>
      </c>
      <c r="D93" t="s">
        <v>0</v>
      </c>
      <c r="E93" t="s">
        <v>1395</v>
      </c>
      <c r="F93" t="s">
        <v>883</v>
      </c>
      <c r="G93" t="s">
        <v>2671</v>
      </c>
      <c r="H93" t="s">
        <v>2140</v>
      </c>
      <c r="I93" t="s">
        <v>2672</v>
      </c>
    </row>
    <row r="94" spans="1:9" ht="15" customHeight="1" x14ac:dyDescent="0.3">
      <c r="A94" t="s">
        <v>1070</v>
      </c>
      <c r="B94" t="s">
        <v>1585</v>
      </c>
      <c r="C94">
        <v>25</v>
      </c>
      <c r="D94" t="s">
        <v>0</v>
      </c>
      <c r="E94" t="s">
        <v>1396</v>
      </c>
      <c r="F94" t="s">
        <v>883</v>
      </c>
      <c r="G94" t="s">
        <v>2671</v>
      </c>
      <c r="H94" t="s">
        <v>2144</v>
      </c>
      <c r="I94" t="s">
        <v>2672</v>
      </c>
    </row>
    <row r="95" spans="1:9" ht="15" customHeight="1" x14ac:dyDescent="0.3">
      <c r="A95" t="s">
        <v>1071</v>
      </c>
      <c r="B95" t="s">
        <v>1585</v>
      </c>
      <c r="C95">
        <v>26</v>
      </c>
      <c r="D95" t="s">
        <v>0</v>
      </c>
      <c r="E95" t="s">
        <v>1397</v>
      </c>
      <c r="F95" t="s">
        <v>883</v>
      </c>
      <c r="G95" t="s">
        <v>2671</v>
      </c>
      <c r="H95" t="s">
        <v>2148</v>
      </c>
      <c r="I95" t="s">
        <v>2672</v>
      </c>
    </row>
    <row r="96" spans="1:9" ht="15" customHeight="1" x14ac:dyDescent="0.3">
      <c r="A96" t="s">
        <v>1073</v>
      </c>
      <c r="B96" t="s">
        <v>1585</v>
      </c>
      <c r="C96">
        <v>27</v>
      </c>
      <c r="D96" t="s">
        <v>0</v>
      </c>
      <c r="E96" t="s">
        <v>1398</v>
      </c>
      <c r="F96" t="s">
        <v>883</v>
      </c>
      <c r="G96" t="s">
        <v>2671</v>
      </c>
      <c r="H96" t="s">
        <v>2152</v>
      </c>
      <c r="I96" t="s">
        <v>2672</v>
      </c>
    </row>
    <row r="97" spans="1:9" ht="15" customHeight="1" x14ac:dyDescent="0.3">
      <c r="A97" t="s">
        <v>1074</v>
      </c>
      <c r="B97" t="s">
        <v>1585</v>
      </c>
      <c r="C97">
        <v>28</v>
      </c>
      <c r="D97" t="s">
        <v>0</v>
      </c>
      <c r="E97" t="s">
        <v>1399</v>
      </c>
      <c r="F97" t="s">
        <v>883</v>
      </c>
      <c r="G97" t="s">
        <v>2671</v>
      </c>
      <c r="H97" t="s">
        <v>2156</v>
      </c>
      <c r="I97" t="s">
        <v>2672</v>
      </c>
    </row>
    <row r="98" spans="1:9" ht="15" customHeight="1" x14ac:dyDescent="0.3">
      <c r="A98" t="s">
        <v>1076</v>
      </c>
      <c r="B98" t="s">
        <v>1585</v>
      </c>
      <c r="C98">
        <v>29</v>
      </c>
      <c r="D98" t="s">
        <v>0</v>
      </c>
      <c r="E98" t="s">
        <v>1400</v>
      </c>
      <c r="F98" t="s">
        <v>883</v>
      </c>
      <c r="G98" t="s">
        <v>2671</v>
      </c>
      <c r="H98" t="s">
        <v>2160</v>
      </c>
      <c r="I98" t="s">
        <v>2672</v>
      </c>
    </row>
    <row r="99" spans="1:9" ht="15" customHeight="1" x14ac:dyDescent="0.3">
      <c r="A99" t="s">
        <v>1079</v>
      </c>
      <c r="B99" t="s">
        <v>1585</v>
      </c>
      <c r="C99">
        <v>30</v>
      </c>
      <c r="D99" t="s">
        <v>0</v>
      </c>
      <c r="E99" t="s">
        <v>1401</v>
      </c>
      <c r="F99" t="s">
        <v>883</v>
      </c>
      <c r="G99" t="s">
        <v>2671</v>
      </c>
      <c r="H99" t="s">
        <v>2164</v>
      </c>
      <c r="I99" t="s">
        <v>2672</v>
      </c>
    </row>
    <row r="100" spans="1:9" ht="15" customHeight="1" x14ac:dyDescent="0.3">
      <c r="A100" t="s">
        <v>1080</v>
      </c>
      <c r="B100" t="s">
        <v>1585</v>
      </c>
      <c r="C100">
        <v>31</v>
      </c>
      <c r="D100" t="s">
        <v>0</v>
      </c>
      <c r="E100" t="s">
        <v>1402</v>
      </c>
      <c r="F100" t="s">
        <v>883</v>
      </c>
      <c r="G100" t="s">
        <v>2671</v>
      </c>
      <c r="H100" t="s">
        <v>2168</v>
      </c>
      <c r="I100" t="s">
        <v>2672</v>
      </c>
    </row>
    <row r="101" spans="1:9" ht="15" customHeight="1" x14ac:dyDescent="0.3">
      <c r="A101" t="s">
        <v>1081</v>
      </c>
      <c r="B101" t="s">
        <v>1585</v>
      </c>
      <c r="C101">
        <v>32</v>
      </c>
      <c r="D101" t="s">
        <v>0</v>
      </c>
      <c r="E101" t="s">
        <v>1403</v>
      </c>
      <c r="F101" t="s">
        <v>883</v>
      </c>
      <c r="G101" t="s">
        <v>2671</v>
      </c>
      <c r="H101" t="s">
        <v>2172</v>
      </c>
      <c r="I101" t="s">
        <v>2672</v>
      </c>
    </row>
    <row r="102" spans="1:9" ht="15" customHeight="1" x14ac:dyDescent="0.3">
      <c r="A102" t="s">
        <v>1082</v>
      </c>
      <c r="B102" t="s">
        <v>1585</v>
      </c>
      <c r="C102">
        <v>33</v>
      </c>
      <c r="D102" t="s">
        <v>0</v>
      </c>
      <c r="E102" t="s">
        <v>1404</v>
      </c>
      <c r="F102" t="s">
        <v>883</v>
      </c>
      <c r="G102" t="s">
        <v>2671</v>
      </c>
      <c r="H102" t="s">
        <v>2176</v>
      </c>
      <c r="I102" t="s">
        <v>2672</v>
      </c>
    </row>
    <row r="103" spans="1:9" ht="15" customHeight="1" x14ac:dyDescent="0.3">
      <c r="A103" t="s">
        <v>1083</v>
      </c>
      <c r="B103" t="s">
        <v>1585</v>
      </c>
      <c r="C103">
        <v>34</v>
      </c>
      <c r="D103" t="s">
        <v>0</v>
      </c>
      <c r="E103" t="s">
        <v>1405</v>
      </c>
      <c r="F103" t="s">
        <v>883</v>
      </c>
      <c r="G103" t="s">
        <v>2671</v>
      </c>
      <c r="H103" t="s">
        <v>2180</v>
      </c>
      <c r="I103" t="s">
        <v>2672</v>
      </c>
    </row>
    <row r="104" spans="1:9" ht="15" customHeight="1" x14ac:dyDescent="0.3">
      <c r="A104" t="s">
        <v>1085</v>
      </c>
      <c r="B104" t="s">
        <v>1585</v>
      </c>
      <c r="C104">
        <v>35</v>
      </c>
      <c r="D104" t="s">
        <v>0</v>
      </c>
      <c r="E104" t="s">
        <v>1406</v>
      </c>
      <c r="F104" t="s">
        <v>883</v>
      </c>
      <c r="G104" t="s">
        <v>2671</v>
      </c>
      <c r="H104" t="s">
        <v>2184</v>
      </c>
      <c r="I104" t="s">
        <v>2672</v>
      </c>
    </row>
    <row r="105" spans="1:9" ht="15" customHeight="1" x14ac:dyDescent="0.3">
      <c r="A105" t="s">
        <v>1087</v>
      </c>
      <c r="B105" t="s">
        <v>1585</v>
      </c>
      <c r="C105">
        <v>36</v>
      </c>
      <c r="D105" t="s">
        <v>0</v>
      </c>
      <c r="E105" t="s">
        <v>1407</v>
      </c>
      <c r="F105" t="s">
        <v>883</v>
      </c>
      <c r="G105" t="s">
        <v>2671</v>
      </c>
      <c r="H105" t="s">
        <v>2188</v>
      </c>
      <c r="I105" t="s">
        <v>2672</v>
      </c>
    </row>
    <row r="106" spans="1:9" ht="15" customHeight="1" x14ac:dyDescent="0.3">
      <c r="A106" t="s">
        <v>1088</v>
      </c>
      <c r="B106" t="s">
        <v>1585</v>
      </c>
      <c r="C106">
        <v>37</v>
      </c>
      <c r="D106" t="s">
        <v>0</v>
      </c>
      <c r="E106" t="s">
        <v>1408</v>
      </c>
      <c r="F106" t="s">
        <v>883</v>
      </c>
      <c r="G106" t="s">
        <v>2671</v>
      </c>
      <c r="H106" t="s">
        <v>2192</v>
      </c>
      <c r="I106" t="s">
        <v>2672</v>
      </c>
    </row>
    <row r="107" spans="1:9" ht="15" customHeight="1" x14ac:dyDescent="0.3">
      <c r="A107" t="s">
        <v>1089</v>
      </c>
      <c r="B107" t="s">
        <v>1585</v>
      </c>
      <c r="C107">
        <v>38</v>
      </c>
      <c r="D107" t="s">
        <v>0</v>
      </c>
      <c r="E107" t="s">
        <v>1409</v>
      </c>
      <c r="F107" t="s">
        <v>883</v>
      </c>
      <c r="G107" t="s">
        <v>2671</v>
      </c>
      <c r="H107" t="s">
        <v>2196</v>
      </c>
      <c r="I107" t="s">
        <v>2672</v>
      </c>
    </row>
    <row r="108" spans="1:9" ht="15" customHeight="1" x14ac:dyDescent="0.3">
      <c r="A108" t="s">
        <v>1480</v>
      </c>
      <c r="B108" t="s">
        <v>1585</v>
      </c>
      <c r="C108">
        <v>39</v>
      </c>
      <c r="D108" t="s">
        <v>0</v>
      </c>
      <c r="E108" t="s">
        <v>1410</v>
      </c>
      <c r="F108" t="s">
        <v>883</v>
      </c>
      <c r="G108" t="s">
        <v>2671</v>
      </c>
      <c r="H108" t="s">
        <v>2200</v>
      </c>
      <c r="I108" t="s">
        <v>2672</v>
      </c>
    </row>
    <row r="109" spans="1:9" ht="15" customHeight="1" x14ac:dyDescent="0.3">
      <c r="A109" t="s">
        <v>1482</v>
      </c>
      <c r="B109" t="s">
        <v>1585</v>
      </c>
      <c r="C109">
        <v>41</v>
      </c>
      <c r="D109" t="s">
        <v>0</v>
      </c>
      <c r="E109" t="s">
        <v>2673</v>
      </c>
      <c r="F109" t="s">
        <v>883</v>
      </c>
      <c r="G109" t="s">
        <v>2671</v>
      </c>
      <c r="H109" t="s">
        <v>2204</v>
      </c>
      <c r="I109" t="s">
        <v>2672</v>
      </c>
    </row>
    <row r="110" spans="1:9" ht="15" customHeight="1" x14ac:dyDescent="0.3">
      <c r="A110" t="s">
        <v>652</v>
      </c>
      <c r="B110" t="s">
        <v>1585</v>
      </c>
      <c r="C110">
        <v>49</v>
      </c>
      <c r="D110" t="s">
        <v>0</v>
      </c>
      <c r="E110" t="s">
        <v>1411</v>
      </c>
      <c r="F110" t="s">
        <v>883</v>
      </c>
      <c r="G110" t="s">
        <v>2671</v>
      </c>
      <c r="H110" t="s">
        <v>2208</v>
      </c>
      <c r="I110" t="s">
        <v>2672</v>
      </c>
    </row>
    <row r="111" spans="1:9" ht="15" customHeight="1" x14ac:dyDescent="0.3">
      <c r="A111" t="s">
        <v>653</v>
      </c>
      <c r="B111" t="s">
        <v>1585</v>
      </c>
      <c r="C111">
        <v>50</v>
      </c>
      <c r="D111" t="s">
        <v>0</v>
      </c>
      <c r="E111" t="s">
        <v>1412</v>
      </c>
      <c r="F111" t="s">
        <v>883</v>
      </c>
      <c r="G111" t="s">
        <v>2671</v>
      </c>
      <c r="H111" t="s">
        <v>2212</v>
      </c>
      <c r="I111" t="s">
        <v>2672</v>
      </c>
    </row>
    <row r="112" spans="1:9" ht="15" customHeight="1" x14ac:dyDescent="0.3">
      <c r="A112" t="s">
        <v>655</v>
      </c>
      <c r="B112" t="s">
        <v>1585</v>
      </c>
      <c r="C112">
        <v>51</v>
      </c>
      <c r="D112" t="s">
        <v>0</v>
      </c>
      <c r="E112" t="s">
        <v>1413</v>
      </c>
      <c r="F112" t="s">
        <v>883</v>
      </c>
      <c r="G112" t="s">
        <v>2671</v>
      </c>
      <c r="H112" t="s">
        <v>2216</v>
      </c>
      <c r="I112" t="s">
        <v>2672</v>
      </c>
    </row>
    <row r="113" spans="1:9" ht="15" customHeight="1" x14ac:dyDescent="0.3">
      <c r="A113" t="s">
        <v>656</v>
      </c>
      <c r="B113" t="s">
        <v>1585</v>
      </c>
      <c r="C113">
        <v>52</v>
      </c>
      <c r="D113" t="s">
        <v>0</v>
      </c>
      <c r="E113" t="s">
        <v>1414</v>
      </c>
      <c r="F113" t="s">
        <v>883</v>
      </c>
      <c r="G113" t="s">
        <v>2671</v>
      </c>
      <c r="H113" t="s">
        <v>2220</v>
      </c>
      <c r="I113" t="s">
        <v>2672</v>
      </c>
    </row>
    <row r="114" spans="1:9" ht="15" customHeight="1" x14ac:dyDescent="0.3">
      <c r="A114" t="s">
        <v>658</v>
      </c>
      <c r="B114" t="s">
        <v>1585</v>
      </c>
      <c r="C114">
        <v>53</v>
      </c>
      <c r="D114" t="s">
        <v>0</v>
      </c>
      <c r="E114" t="s">
        <v>1415</v>
      </c>
      <c r="F114" t="s">
        <v>883</v>
      </c>
      <c r="G114" t="s">
        <v>2671</v>
      </c>
      <c r="H114" t="s">
        <v>2224</v>
      </c>
      <c r="I114" t="s">
        <v>2672</v>
      </c>
    </row>
    <row r="115" spans="1:9" ht="15" customHeight="1" x14ac:dyDescent="0.3">
      <c r="A115" t="s">
        <v>660</v>
      </c>
      <c r="B115" t="s">
        <v>1585</v>
      </c>
      <c r="C115">
        <v>54</v>
      </c>
      <c r="D115" t="s">
        <v>0</v>
      </c>
      <c r="E115" t="s">
        <v>1416</v>
      </c>
      <c r="F115" t="s">
        <v>883</v>
      </c>
      <c r="G115" t="s">
        <v>2671</v>
      </c>
      <c r="H115" t="s">
        <v>2228</v>
      </c>
      <c r="I115" t="s">
        <v>2672</v>
      </c>
    </row>
    <row r="116" spans="1:9" ht="15" customHeight="1" x14ac:dyDescent="0.3">
      <c r="A116" t="s">
        <v>662</v>
      </c>
      <c r="B116" t="s">
        <v>1585</v>
      </c>
      <c r="C116">
        <v>55</v>
      </c>
      <c r="D116" t="s">
        <v>0</v>
      </c>
      <c r="E116" t="s">
        <v>1417</v>
      </c>
      <c r="F116" t="s">
        <v>883</v>
      </c>
      <c r="G116" t="s">
        <v>2671</v>
      </c>
      <c r="H116" t="s">
        <v>2232</v>
      </c>
      <c r="I116" t="s">
        <v>2672</v>
      </c>
    </row>
    <row r="117" spans="1:9" ht="15" customHeight="1" x14ac:dyDescent="0.3">
      <c r="A117" t="s">
        <v>664</v>
      </c>
      <c r="B117" t="s">
        <v>1585</v>
      </c>
      <c r="C117">
        <v>56</v>
      </c>
      <c r="D117" t="s">
        <v>0</v>
      </c>
      <c r="E117" t="s">
        <v>1418</v>
      </c>
      <c r="F117" t="s">
        <v>883</v>
      </c>
      <c r="G117" t="s">
        <v>2671</v>
      </c>
      <c r="H117" t="s">
        <v>2236</v>
      </c>
      <c r="I117" t="s">
        <v>2672</v>
      </c>
    </row>
    <row r="118" spans="1:9" ht="15" customHeight="1" x14ac:dyDescent="0.3">
      <c r="A118" t="s">
        <v>666</v>
      </c>
      <c r="B118" t="s">
        <v>1585</v>
      </c>
      <c r="C118">
        <v>57</v>
      </c>
      <c r="D118" t="s">
        <v>0</v>
      </c>
      <c r="E118" t="s">
        <v>1419</v>
      </c>
      <c r="F118" t="s">
        <v>883</v>
      </c>
      <c r="G118" t="s">
        <v>2671</v>
      </c>
      <c r="H118" t="s">
        <v>2240</v>
      </c>
      <c r="I118" t="s">
        <v>2672</v>
      </c>
    </row>
    <row r="119" spans="1:9" ht="15" customHeight="1" x14ac:dyDescent="0.3">
      <c r="A119" t="s">
        <v>668</v>
      </c>
      <c r="B119" t="s">
        <v>1585</v>
      </c>
      <c r="C119">
        <v>58</v>
      </c>
      <c r="D119" t="s">
        <v>0</v>
      </c>
      <c r="E119" t="s">
        <v>1420</v>
      </c>
      <c r="F119" t="s">
        <v>883</v>
      </c>
      <c r="G119" t="s">
        <v>2671</v>
      </c>
      <c r="H119" t="s">
        <v>2244</v>
      </c>
      <c r="I119" t="s">
        <v>2672</v>
      </c>
    </row>
    <row r="120" spans="1:9" ht="15" customHeight="1" x14ac:dyDescent="0.3">
      <c r="A120" t="s">
        <v>670</v>
      </c>
      <c r="B120" t="s">
        <v>1585</v>
      </c>
      <c r="C120">
        <v>59</v>
      </c>
      <c r="D120" t="s">
        <v>0</v>
      </c>
      <c r="E120" t="s">
        <v>2674</v>
      </c>
      <c r="F120" t="s">
        <v>883</v>
      </c>
      <c r="G120" t="s">
        <v>2671</v>
      </c>
      <c r="H120" t="s">
        <v>2248</v>
      </c>
      <c r="I120" t="s">
        <v>2672</v>
      </c>
    </row>
    <row r="121" spans="1:9" ht="15" customHeight="1" x14ac:dyDescent="0.3">
      <c r="A121" t="s">
        <v>672</v>
      </c>
      <c r="B121" t="s">
        <v>1585</v>
      </c>
      <c r="C121">
        <v>60</v>
      </c>
      <c r="D121" t="s">
        <v>0</v>
      </c>
      <c r="E121" t="s">
        <v>2675</v>
      </c>
      <c r="F121" t="s">
        <v>883</v>
      </c>
      <c r="G121" t="s">
        <v>2671</v>
      </c>
      <c r="H121" t="s">
        <v>2252</v>
      </c>
      <c r="I121" t="s">
        <v>2672</v>
      </c>
    </row>
    <row r="122" spans="1:9" ht="15" customHeight="1" x14ac:dyDescent="0.3">
      <c r="A122" t="s">
        <v>1444</v>
      </c>
      <c r="B122" t="s">
        <v>1585</v>
      </c>
      <c r="C122">
        <v>1</v>
      </c>
      <c r="D122" t="s">
        <v>0</v>
      </c>
      <c r="E122" t="s">
        <v>899</v>
      </c>
      <c r="F122" t="s">
        <v>883</v>
      </c>
      <c r="G122" t="s">
        <v>2676</v>
      </c>
      <c r="H122" t="s">
        <v>2256</v>
      </c>
      <c r="I122" t="s">
        <v>2677</v>
      </c>
    </row>
    <row r="123" spans="1:9" ht="15" customHeight="1" x14ac:dyDescent="0.3">
      <c r="A123" t="s">
        <v>1445</v>
      </c>
      <c r="B123" t="s">
        <v>1585</v>
      </c>
      <c r="C123">
        <v>2</v>
      </c>
      <c r="D123" t="s">
        <v>0</v>
      </c>
      <c r="E123" t="s">
        <v>900</v>
      </c>
      <c r="F123" t="s">
        <v>883</v>
      </c>
      <c r="G123" t="s">
        <v>2676</v>
      </c>
      <c r="H123" t="s">
        <v>2260</v>
      </c>
      <c r="I123" t="s">
        <v>2677</v>
      </c>
    </row>
    <row r="124" spans="1:9" ht="15" customHeight="1" x14ac:dyDescent="0.3">
      <c r="A124" t="s">
        <v>1446</v>
      </c>
      <c r="B124" t="s">
        <v>1585</v>
      </c>
      <c r="C124">
        <v>3</v>
      </c>
      <c r="D124" t="s">
        <v>0</v>
      </c>
      <c r="E124" t="s">
        <v>901</v>
      </c>
      <c r="F124" t="s">
        <v>883</v>
      </c>
      <c r="G124" t="s">
        <v>2676</v>
      </c>
      <c r="H124" t="s">
        <v>2264</v>
      </c>
      <c r="I124" t="s">
        <v>2677</v>
      </c>
    </row>
    <row r="125" spans="1:9" ht="15" customHeight="1" x14ac:dyDescent="0.3">
      <c r="A125" t="s">
        <v>1447</v>
      </c>
      <c r="B125" t="s">
        <v>1585</v>
      </c>
      <c r="C125">
        <v>4</v>
      </c>
      <c r="D125" t="s">
        <v>0</v>
      </c>
      <c r="E125" t="s">
        <v>902</v>
      </c>
      <c r="F125" t="s">
        <v>883</v>
      </c>
      <c r="G125" t="s">
        <v>2676</v>
      </c>
      <c r="H125" t="s">
        <v>2268</v>
      </c>
      <c r="I125" t="s">
        <v>2677</v>
      </c>
    </row>
    <row r="126" spans="1:9" ht="15" customHeight="1" x14ac:dyDescent="0.3">
      <c r="A126" t="s">
        <v>1448</v>
      </c>
      <c r="B126" t="s">
        <v>1585</v>
      </c>
      <c r="C126">
        <v>5</v>
      </c>
      <c r="D126" t="s">
        <v>0</v>
      </c>
      <c r="E126" t="s">
        <v>1421</v>
      </c>
      <c r="F126" t="s">
        <v>883</v>
      </c>
      <c r="G126" t="s">
        <v>2676</v>
      </c>
      <c r="H126" t="s">
        <v>2272</v>
      </c>
      <c r="I126" t="s">
        <v>2677</v>
      </c>
    </row>
    <row r="127" spans="1:9" ht="15" customHeight="1" x14ac:dyDescent="0.3">
      <c r="A127" t="s">
        <v>1449</v>
      </c>
      <c r="B127" t="s">
        <v>1585</v>
      </c>
      <c r="C127">
        <v>6</v>
      </c>
      <c r="D127" t="s">
        <v>0</v>
      </c>
      <c r="E127" t="s">
        <v>1422</v>
      </c>
      <c r="F127" t="s">
        <v>883</v>
      </c>
      <c r="G127" t="s">
        <v>2676</v>
      </c>
      <c r="H127" t="s">
        <v>2276</v>
      </c>
      <c r="I127" t="s">
        <v>2677</v>
      </c>
    </row>
    <row r="128" spans="1:9" ht="15" customHeight="1" x14ac:dyDescent="0.3">
      <c r="A128" t="s">
        <v>1022</v>
      </c>
      <c r="B128" t="s">
        <v>1585</v>
      </c>
      <c r="C128">
        <v>7</v>
      </c>
      <c r="D128" t="s">
        <v>0</v>
      </c>
      <c r="E128" t="s">
        <v>1423</v>
      </c>
      <c r="F128" t="s">
        <v>883</v>
      </c>
      <c r="G128" t="s">
        <v>2676</v>
      </c>
      <c r="H128" t="s">
        <v>2280</v>
      </c>
      <c r="I128" t="s">
        <v>2677</v>
      </c>
    </row>
    <row r="129" spans="1:9" ht="15" customHeight="1" x14ac:dyDescent="0.3">
      <c r="A129" t="s">
        <v>1023</v>
      </c>
      <c r="B129" t="s">
        <v>1585</v>
      </c>
      <c r="C129">
        <v>8</v>
      </c>
      <c r="D129" t="s">
        <v>0</v>
      </c>
      <c r="E129" t="s">
        <v>1424</v>
      </c>
      <c r="F129" t="s">
        <v>883</v>
      </c>
      <c r="G129" t="s">
        <v>2676</v>
      </c>
      <c r="H129" t="s">
        <v>2284</v>
      </c>
      <c r="I129" t="s">
        <v>2677</v>
      </c>
    </row>
    <row r="130" spans="1:9" ht="15" customHeight="1" x14ac:dyDescent="0.3">
      <c r="A130" t="s">
        <v>1024</v>
      </c>
      <c r="B130" t="s">
        <v>1585</v>
      </c>
      <c r="C130">
        <v>9</v>
      </c>
      <c r="D130" t="s">
        <v>0</v>
      </c>
      <c r="E130" t="s">
        <v>1425</v>
      </c>
      <c r="F130" t="s">
        <v>883</v>
      </c>
      <c r="G130" t="s">
        <v>2676</v>
      </c>
      <c r="H130" t="s">
        <v>2288</v>
      </c>
      <c r="I130" t="s">
        <v>2677</v>
      </c>
    </row>
    <row r="131" spans="1:9" ht="15" customHeight="1" x14ac:dyDescent="0.3">
      <c r="A131" t="s">
        <v>1467</v>
      </c>
      <c r="B131" t="s">
        <v>1585</v>
      </c>
      <c r="C131">
        <v>1</v>
      </c>
      <c r="D131" t="s">
        <v>1584</v>
      </c>
      <c r="E131" t="s">
        <v>903</v>
      </c>
      <c r="F131" t="s">
        <v>883</v>
      </c>
      <c r="G131" t="s">
        <v>2678</v>
      </c>
      <c r="H131" t="s">
        <v>2292</v>
      </c>
      <c r="I131" t="s">
        <v>2679</v>
      </c>
    </row>
    <row r="132" spans="1:9" ht="15" customHeight="1" x14ac:dyDescent="0.3">
      <c r="A132" t="s">
        <v>1468</v>
      </c>
      <c r="B132" t="s">
        <v>1585</v>
      </c>
      <c r="C132">
        <v>2</v>
      </c>
      <c r="D132" t="s">
        <v>1584</v>
      </c>
      <c r="E132" t="s">
        <v>904</v>
      </c>
      <c r="F132" t="s">
        <v>883</v>
      </c>
      <c r="G132" t="s">
        <v>2678</v>
      </c>
      <c r="H132" t="s">
        <v>2296</v>
      </c>
      <c r="I132" t="s">
        <v>2679</v>
      </c>
    </row>
    <row r="133" spans="1:9" ht="15" customHeight="1" x14ac:dyDescent="0.3">
      <c r="A133" t="s">
        <v>1469</v>
      </c>
      <c r="B133" t="s">
        <v>1585</v>
      </c>
      <c r="C133">
        <v>3</v>
      </c>
      <c r="D133" t="s">
        <v>1584</v>
      </c>
      <c r="E133" t="s">
        <v>905</v>
      </c>
      <c r="F133" t="s">
        <v>883</v>
      </c>
      <c r="G133" t="s">
        <v>2678</v>
      </c>
      <c r="H133" t="s">
        <v>2300</v>
      </c>
      <c r="I133" t="s">
        <v>2679</v>
      </c>
    </row>
    <row r="134" spans="1:9" ht="15" customHeight="1" x14ac:dyDescent="0.3">
      <c r="A134" t="s">
        <v>1470</v>
      </c>
      <c r="B134" t="s">
        <v>1585</v>
      </c>
      <c r="C134">
        <v>4</v>
      </c>
      <c r="D134" t="s">
        <v>1584</v>
      </c>
      <c r="E134" t="s">
        <v>906</v>
      </c>
      <c r="F134" t="s">
        <v>883</v>
      </c>
      <c r="G134" t="s">
        <v>2678</v>
      </c>
      <c r="H134" t="s">
        <v>2304</v>
      </c>
      <c r="I134" t="s">
        <v>2679</v>
      </c>
    </row>
    <row r="135" spans="1:9" ht="15" customHeight="1" x14ac:dyDescent="0.3">
      <c r="A135" t="s">
        <v>978</v>
      </c>
      <c r="B135" t="s">
        <v>1585</v>
      </c>
      <c r="C135">
        <v>5</v>
      </c>
      <c r="D135" t="s">
        <v>1584</v>
      </c>
      <c r="E135" t="s">
        <v>907</v>
      </c>
      <c r="F135" t="s">
        <v>883</v>
      </c>
      <c r="G135" t="s">
        <v>2678</v>
      </c>
      <c r="H135" t="s">
        <v>2308</v>
      </c>
      <c r="I135" t="s">
        <v>2679</v>
      </c>
    </row>
    <row r="136" spans="1:9" ht="15" customHeight="1" x14ac:dyDescent="0.3">
      <c r="A136" t="s">
        <v>979</v>
      </c>
      <c r="B136" t="s">
        <v>1585</v>
      </c>
      <c r="C136">
        <v>6</v>
      </c>
      <c r="D136" t="s">
        <v>1584</v>
      </c>
      <c r="E136" t="s">
        <v>908</v>
      </c>
      <c r="F136" t="s">
        <v>883</v>
      </c>
      <c r="G136" t="s">
        <v>2678</v>
      </c>
      <c r="H136" t="s">
        <v>2312</v>
      </c>
      <c r="I136" t="s">
        <v>2679</v>
      </c>
    </row>
    <row r="137" spans="1:9" ht="15" customHeight="1" x14ac:dyDescent="0.3">
      <c r="A137" t="s">
        <v>980</v>
      </c>
      <c r="B137" t="s">
        <v>1585</v>
      </c>
      <c r="C137">
        <v>7</v>
      </c>
      <c r="D137" t="s">
        <v>1584</v>
      </c>
      <c r="E137" t="s">
        <v>909</v>
      </c>
      <c r="F137" t="s">
        <v>883</v>
      </c>
      <c r="G137" t="s">
        <v>2678</v>
      </c>
      <c r="H137" t="s">
        <v>2316</v>
      </c>
      <c r="I137" t="s">
        <v>2679</v>
      </c>
    </row>
    <row r="138" spans="1:9" ht="15" customHeight="1" x14ac:dyDescent="0.3">
      <c r="A138" t="s">
        <v>981</v>
      </c>
      <c r="B138" t="s">
        <v>1585</v>
      </c>
      <c r="C138">
        <v>8</v>
      </c>
      <c r="D138" t="s">
        <v>1584</v>
      </c>
      <c r="E138" t="s">
        <v>1426</v>
      </c>
      <c r="F138" t="s">
        <v>883</v>
      </c>
      <c r="G138" t="s">
        <v>2678</v>
      </c>
      <c r="H138" t="s">
        <v>2320</v>
      </c>
      <c r="I138" t="s">
        <v>2679</v>
      </c>
    </row>
    <row r="139" spans="1:9" ht="15" customHeight="1" x14ac:dyDescent="0.3">
      <c r="A139" t="s">
        <v>1471</v>
      </c>
      <c r="B139" t="s">
        <v>1585</v>
      </c>
      <c r="C139">
        <v>9</v>
      </c>
      <c r="D139" t="s">
        <v>1584</v>
      </c>
      <c r="E139" t="s">
        <v>1427</v>
      </c>
      <c r="F139" t="s">
        <v>883</v>
      </c>
      <c r="G139" t="s">
        <v>2678</v>
      </c>
      <c r="H139" t="s">
        <v>2324</v>
      </c>
      <c r="I139" t="s">
        <v>2679</v>
      </c>
    </row>
    <row r="140" spans="1:9" ht="15" customHeight="1" x14ac:dyDescent="0.3">
      <c r="A140" t="s">
        <v>983</v>
      </c>
      <c r="B140" t="s">
        <v>1585</v>
      </c>
      <c r="C140">
        <v>10</v>
      </c>
      <c r="D140" t="s">
        <v>1584</v>
      </c>
      <c r="E140" t="s">
        <v>1428</v>
      </c>
      <c r="F140" t="s">
        <v>883</v>
      </c>
      <c r="G140" t="s">
        <v>2678</v>
      </c>
      <c r="H140" t="s">
        <v>2328</v>
      </c>
      <c r="I140" t="s">
        <v>2679</v>
      </c>
    </row>
    <row r="141" spans="1:9" ht="15" customHeight="1" x14ac:dyDescent="0.3">
      <c r="A141" t="s">
        <v>985</v>
      </c>
      <c r="B141" t="s">
        <v>1585</v>
      </c>
      <c r="C141">
        <v>11</v>
      </c>
      <c r="D141" t="s">
        <v>1584</v>
      </c>
      <c r="E141" t="s">
        <v>1429</v>
      </c>
      <c r="F141" t="s">
        <v>883</v>
      </c>
      <c r="G141" t="s">
        <v>2678</v>
      </c>
      <c r="H141" t="s">
        <v>2332</v>
      </c>
      <c r="I141" t="s">
        <v>2679</v>
      </c>
    </row>
    <row r="142" spans="1:9" ht="15" customHeight="1" x14ac:dyDescent="0.3">
      <c r="A142" t="s">
        <v>986</v>
      </c>
      <c r="B142" t="s">
        <v>1585</v>
      </c>
      <c r="C142">
        <v>12</v>
      </c>
      <c r="D142" t="s">
        <v>1584</v>
      </c>
      <c r="E142" t="s">
        <v>1430</v>
      </c>
      <c r="F142" t="s">
        <v>883</v>
      </c>
      <c r="G142" t="s">
        <v>2678</v>
      </c>
      <c r="H142" t="s">
        <v>2336</v>
      </c>
      <c r="I142" t="s">
        <v>2679</v>
      </c>
    </row>
    <row r="143" spans="1:9" ht="15" customHeight="1" x14ac:dyDescent="0.3">
      <c r="A143" t="s">
        <v>987</v>
      </c>
      <c r="B143" t="s">
        <v>1585</v>
      </c>
      <c r="C143">
        <v>13</v>
      </c>
      <c r="D143" t="s">
        <v>1584</v>
      </c>
      <c r="E143" t="s">
        <v>1431</v>
      </c>
      <c r="F143" t="s">
        <v>883</v>
      </c>
      <c r="G143" t="s">
        <v>2678</v>
      </c>
      <c r="H143" t="s">
        <v>2340</v>
      </c>
      <c r="I143" t="s">
        <v>2679</v>
      </c>
    </row>
    <row r="144" spans="1:9" ht="15" customHeight="1" x14ac:dyDescent="0.3">
      <c r="A144" t="s">
        <v>989</v>
      </c>
      <c r="B144" t="s">
        <v>1585</v>
      </c>
      <c r="C144">
        <v>14</v>
      </c>
      <c r="D144" t="s">
        <v>1584</v>
      </c>
      <c r="E144" t="s">
        <v>1432</v>
      </c>
      <c r="F144" t="s">
        <v>883</v>
      </c>
      <c r="G144" t="s">
        <v>2678</v>
      </c>
      <c r="H144" t="s">
        <v>2344</v>
      </c>
      <c r="I144" t="s">
        <v>2679</v>
      </c>
    </row>
    <row r="145" spans="1:9" ht="15" customHeight="1" x14ac:dyDescent="0.3">
      <c r="A145" t="s">
        <v>991</v>
      </c>
      <c r="B145" t="s">
        <v>1585</v>
      </c>
      <c r="C145">
        <v>15</v>
      </c>
      <c r="D145" t="s">
        <v>1584</v>
      </c>
      <c r="E145" t="s">
        <v>1433</v>
      </c>
      <c r="F145" t="s">
        <v>883</v>
      </c>
      <c r="G145" t="s">
        <v>2678</v>
      </c>
      <c r="H145" t="s">
        <v>2348</v>
      </c>
      <c r="I145" t="s">
        <v>2679</v>
      </c>
    </row>
    <row r="146" spans="1:9" ht="15" customHeight="1" x14ac:dyDescent="0.3">
      <c r="A146" t="s">
        <v>993</v>
      </c>
      <c r="B146" t="s">
        <v>1585</v>
      </c>
      <c r="C146">
        <v>16</v>
      </c>
      <c r="D146" t="s">
        <v>1584</v>
      </c>
      <c r="E146" t="s">
        <v>1434</v>
      </c>
      <c r="F146" t="s">
        <v>883</v>
      </c>
      <c r="G146" t="s">
        <v>2678</v>
      </c>
      <c r="H146" t="s">
        <v>2352</v>
      </c>
      <c r="I146" t="s">
        <v>2679</v>
      </c>
    </row>
    <row r="147" spans="1:9" ht="15" customHeight="1" x14ac:dyDescent="0.3">
      <c r="A147" t="s">
        <v>995</v>
      </c>
      <c r="B147" t="s">
        <v>1585</v>
      </c>
      <c r="C147">
        <v>17</v>
      </c>
      <c r="D147" t="s">
        <v>1584</v>
      </c>
      <c r="E147" t="s">
        <v>1435</v>
      </c>
      <c r="F147" t="s">
        <v>883</v>
      </c>
      <c r="G147" t="s">
        <v>2678</v>
      </c>
      <c r="H147" t="s">
        <v>2356</v>
      </c>
      <c r="I147" t="s">
        <v>2679</v>
      </c>
    </row>
    <row r="148" spans="1:9" ht="15" customHeight="1" x14ac:dyDescent="0.3">
      <c r="A148" t="s">
        <v>997</v>
      </c>
      <c r="B148" t="s">
        <v>1585</v>
      </c>
      <c r="C148">
        <v>18</v>
      </c>
      <c r="D148" t="s">
        <v>1584</v>
      </c>
      <c r="E148" t="s">
        <v>1436</v>
      </c>
      <c r="F148" t="s">
        <v>883</v>
      </c>
      <c r="G148" t="s">
        <v>2678</v>
      </c>
      <c r="H148" t="s">
        <v>2360</v>
      </c>
      <c r="I148" t="s">
        <v>2679</v>
      </c>
    </row>
    <row r="149" spans="1:9" ht="15" customHeight="1" x14ac:dyDescent="0.3">
      <c r="A149" t="s">
        <v>1597</v>
      </c>
      <c r="B149" t="s">
        <v>1585</v>
      </c>
      <c r="C149">
        <v>19</v>
      </c>
      <c r="D149" t="s">
        <v>1584</v>
      </c>
      <c r="E149" t="s">
        <v>1635</v>
      </c>
      <c r="F149" t="s">
        <v>883</v>
      </c>
      <c r="G149" t="s">
        <v>2678</v>
      </c>
      <c r="H149" t="s">
        <v>2364</v>
      </c>
      <c r="I149" t="s">
        <v>2679</v>
      </c>
    </row>
    <row r="150" spans="1:9" ht="15" customHeight="1" x14ac:dyDescent="0.3">
      <c r="A150" t="s">
        <v>1598</v>
      </c>
      <c r="B150" t="s">
        <v>1585</v>
      </c>
      <c r="C150">
        <v>20</v>
      </c>
      <c r="D150" t="s">
        <v>1584</v>
      </c>
      <c r="E150" t="s">
        <v>1636</v>
      </c>
      <c r="F150" t="s">
        <v>883</v>
      </c>
      <c r="G150" t="s">
        <v>2678</v>
      </c>
      <c r="H150" t="s">
        <v>2368</v>
      </c>
      <c r="I150" t="s">
        <v>2679</v>
      </c>
    </row>
    <row r="151" spans="1:9" ht="15" customHeight="1" x14ac:dyDescent="0.3">
      <c r="A151" t="s">
        <v>1599</v>
      </c>
      <c r="B151" t="s">
        <v>1585</v>
      </c>
      <c r="C151">
        <v>21</v>
      </c>
      <c r="D151" t="s">
        <v>1584</v>
      </c>
      <c r="E151" t="s">
        <v>1637</v>
      </c>
      <c r="F151" t="s">
        <v>883</v>
      </c>
      <c r="G151" t="s">
        <v>2678</v>
      </c>
      <c r="H151" t="s">
        <v>2372</v>
      </c>
      <c r="I151" t="s">
        <v>2679</v>
      </c>
    </row>
    <row r="152" spans="1:9" ht="15" customHeight="1" x14ac:dyDescent="0.3">
      <c r="A152" t="s">
        <v>1600</v>
      </c>
      <c r="B152" t="s">
        <v>1585</v>
      </c>
      <c r="C152">
        <v>22</v>
      </c>
      <c r="D152" t="s">
        <v>1584</v>
      </c>
      <c r="E152" t="s">
        <v>1638</v>
      </c>
      <c r="F152" t="s">
        <v>883</v>
      </c>
      <c r="G152" t="s">
        <v>2678</v>
      </c>
      <c r="H152" t="s">
        <v>2376</v>
      </c>
      <c r="I152" t="s">
        <v>2679</v>
      </c>
    </row>
    <row r="153" spans="1:9" ht="15" customHeight="1" x14ac:dyDescent="0.3">
      <c r="A153" t="s">
        <v>1601</v>
      </c>
      <c r="B153" t="s">
        <v>1585</v>
      </c>
      <c r="C153">
        <v>23</v>
      </c>
      <c r="D153" t="s">
        <v>1584</v>
      </c>
      <c r="E153" t="s">
        <v>1639</v>
      </c>
      <c r="F153" t="s">
        <v>883</v>
      </c>
      <c r="G153" t="s">
        <v>2678</v>
      </c>
      <c r="H153" t="s">
        <v>2380</v>
      </c>
      <c r="I153" t="s">
        <v>2679</v>
      </c>
    </row>
    <row r="154" spans="1:9" ht="15" customHeight="1" x14ac:dyDescent="0.3">
      <c r="A154" t="s">
        <v>1602</v>
      </c>
      <c r="B154" t="s">
        <v>1585</v>
      </c>
      <c r="C154">
        <v>24</v>
      </c>
      <c r="D154" t="s">
        <v>1584</v>
      </c>
      <c r="E154" t="s">
        <v>1640</v>
      </c>
      <c r="F154" t="s">
        <v>883</v>
      </c>
      <c r="G154" t="s">
        <v>2678</v>
      </c>
      <c r="H154" t="s">
        <v>2384</v>
      </c>
      <c r="I154" t="s">
        <v>2679</v>
      </c>
    </row>
    <row r="155" spans="1:9" ht="15" customHeight="1" x14ac:dyDescent="0.3">
      <c r="A155" t="s">
        <v>1603</v>
      </c>
      <c r="B155" t="s">
        <v>1585</v>
      </c>
      <c r="C155">
        <v>25</v>
      </c>
      <c r="D155" t="s">
        <v>1584</v>
      </c>
      <c r="E155" t="s">
        <v>1641</v>
      </c>
      <c r="F155" t="s">
        <v>883</v>
      </c>
      <c r="G155" t="s">
        <v>2678</v>
      </c>
      <c r="H155" t="s">
        <v>2388</v>
      </c>
      <c r="I155" t="s">
        <v>2679</v>
      </c>
    </row>
    <row r="156" spans="1:9" ht="15" customHeight="1" x14ac:dyDescent="0.3">
      <c r="A156" t="s">
        <v>1604</v>
      </c>
      <c r="B156" t="s">
        <v>1585</v>
      </c>
      <c r="C156">
        <v>26</v>
      </c>
      <c r="D156" t="s">
        <v>1584</v>
      </c>
      <c r="E156" t="s">
        <v>1642</v>
      </c>
      <c r="F156" t="s">
        <v>883</v>
      </c>
      <c r="G156" t="s">
        <v>2678</v>
      </c>
      <c r="H156" t="s">
        <v>2392</v>
      </c>
      <c r="I156" t="s">
        <v>2679</v>
      </c>
    </row>
    <row r="157" spans="1:9" ht="15" customHeight="1" x14ac:dyDescent="0.3">
      <c r="A157" t="s">
        <v>1605</v>
      </c>
      <c r="B157" t="s">
        <v>1585</v>
      </c>
      <c r="C157">
        <v>27</v>
      </c>
      <c r="D157" t="s">
        <v>1584</v>
      </c>
      <c r="E157" t="s">
        <v>1643</v>
      </c>
      <c r="F157" t="s">
        <v>883</v>
      </c>
      <c r="G157" t="s">
        <v>2678</v>
      </c>
      <c r="H157" t="s">
        <v>2396</v>
      </c>
      <c r="I157" t="s">
        <v>2679</v>
      </c>
    </row>
    <row r="158" spans="1:9" ht="15" customHeight="1" x14ac:dyDescent="0.3">
      <c r="A158" t="s">
        <v>1606</v>
      </c>
      <c r="B158" t="s">
        <v>1585</v>
      </c>
      <c r="C158">
        <v>28</v>
      </c>
      <c r="D158" t="s">
        <v>1584</v>
      </c>
      <c r="E158" t="s">
        <v>1644</v>
      </c>
      <c r="F158" t="s">
        <v>883</v>
      </c>
      <c r="G158" t="s">
        <v>2678</v>
      </c>
      <c r="H158" t="s">
        <v>2400</v>
      </c>
      <c r="I158" t="s">
        <v>2679</v>
      </c>
    </row>
    <row r="159" spans="1:9" ht="15" customHeight="1" x14ac:dyDescent="0.3">
      <c r="A159" t="s">
        <v>1607</v>
      </c>
      <c r="B159" t="s">
        <v>1585</v>
      </c>
      <c r="C159">
        <v>29</v>
      </c>
      <c r="D159" t="s">
        <v>1584</v>
      </c>
      <c r="E159" t="s">
        <v>1645</v>
      </c>
      <c r="F159" t="s">
        <v>883</v>
      </c>
      <c r="G159" t="s">
        <v>2678</v>
      </c>
      <c r="H159" t="s">
        <v>2404</v>
      </c>
      <c r="I159" t="s">
        <v>2679</v>
      </c>
    </row>
    <row r="160" spans="1:9" ht="15" customHeight="1" x14ac:dyDescent="0.3">
      <c r="A160" t="s">
        <v>1608</v>
      </c>
      <c r="B160" t="s">
        <v>1585</v>
      </c>
      <c r="C160">
        <v>30</v>
      </c>
      <c r="D160" t="s">
        <v>1584</v>
      </c>
      <c r="E160" t="s">
        <v>1646</v>
      </c>
      <c r="F160" t="s">
        <v>883</v>
      </c>
      <c r="G160" t="s">
        <v>2678</v>
      </c>
      <c r="H160" t="s">
        <v>2408</v>
      </c>
      <c r="I160" t="s">
        <v>2679</v>
      </c>
    </row>
    <row r="161" spans="1:9" ht="15" customHeight="1" x14ac:dyDescent="0.3">
      <c r="A161" t="s">
        <v>1517</v>
      </c>
      <c r="B161" t="s">
        <v>1585</v>
      </c>
      <c r="C161">
        <v>1</v>
      </c>
      <c r="D161" t="s">
        <v>0</v>
      </c>
      <c r="E161" t="s">
        <v>1486</v>
      </c>
      <c r="F161" t="s">
        <v>883</v>
      </c>
      <c r="G161" t="s">
        <v>2680</v>
      </c>
      <c r="H161" t="s">
        <v>2412</v>
      </c>
      <c r="I161" t="s">
        <v>2681</v>
      </c>
    </row>
    <row r="162" spans="1:9" ht="15" customHeight="1" x14ac:dyDescent="0.3">
      <c r="A162" t="s">
        <v>1518</v>
      </c>
      <c r="B162" t="s">
        <v>1585</v>
      </c>
      <c r="C162">
        <v>2</v>
      </c>
      <c r="D162" t="s">
        <v>0</v>
      </c>
      <c r="E162" t="s">
        <v>1487</v>
      </c>
      <c r="F162" t="s">
        <v>883</v>
      </c>
      <c r="G162" t="s">
        <v>2680</v>
      </c>
      <c r="H162" t="s">
        <v>2416</v>
      </c>
      <c r="I162" t="s">
        <v>2681</v>
      </c>
    </row>
    <row r="163" spans="1:9" ht="15" customHeight="1" x14ac:dyDescent="0.3">
      <c r="A163" t="s">
        <v>1519</v>
      </c>
      <c r="B163" t="s">
        <v>1585</v>
      </c>
      <c r="C163">
        <v>3</v>
      </c>
      <c r="D163" t="s">
        <v>0</v>
      </c>
      <c r="E163" t="s">
        <v>1488</v>
      </c>
      <c r="F163" t="s">
        <v>883</v>
      </c>
      <c r="G163" t="s">
        <v>2680</v>
      </c>
      <c r="H163" t="s">
        <v>2420</v>
      </c>
      <c r="I163" t="s">
        <v>2681</v>
      </c>
    </row>
    <row r="164" spans="1:9" ht="15" customHeight="1" x14ac:dyDescent="0.3">
      <c r="A164" t="s">
        <v>1520</v>
      </c>
      <c r="B164" t="s">
        <v>1585</v>
      </c>
      <c r="C164">
        <v>4</v>
      </c>
      <c r="D164" t="s">
        <v>0</v>
      </c>
      <c r="E164" t="s">
        <v>1489</v>
      </c>
      <c r="F164" t="s">
        <v>883</v>
      </c>
      <c r="G164" t="s">
        <v>2680</v>
      </c>
      <c r="H164" t="s">
        <v>2424</v>
      </c>
      <c r="I164" t="s">
        <v>2681</v>
      </c>
    </row>
    <row r="165" spans="1:9" ht="15" customHeight="1" x14ac:dyDescent="0.3">
      <c r="A165" t="s">
        <v>1521</v>
      </c>
      <c r="B165" t="s">
        <v>1585</v>
      </c>
      <c r="C165">
        <v>5</v>
      </c>
      <c r="D165" t="s">
        <v>0</v>
      </c>
      <c r="E165" t="s">
        <v>1490</v>
      </c>
      <c r="F165" t="s">
        <v>883</v>
      </c>
      <c r="G165" t="s">
        <v>2680</v>
      </c>
      <c r="H165" t="s">
        <v>2428</v>
      </c>
      <c r="I165" t="s">
        <v>2681</v>
      </c>
    </row>
    <row r="166" spans="1:9" ht="15" customHeight="1" x14ac:dyDescent="0.3">
      <c r="A166" t="s">
        <v>1503</v>
      </c>
      <c r="B166" t="s">
        <v>1585</v>
      </c>
      <c r="C166">
        <v>6</v>
      </c>
      <c r="D166" t="s">
        <v>0</v>
      </c>
      <c r="E166" t="s">
        <v>1491</v>
      </c>
      <c r="F166" t="s">
        <v>883</v>
      </c>
      <c r="G166" t="s">
        <v>2680</v>
      </c>
      <c r="H166" t="s">
        <v>2432</v>
      </c>
      <c r="I166" t="s">
        <v>2681</v>
      </c>
    </row>
    <row r="167" spans="1:9" ht="15" customHeight="1" x14ac:dyDescent="0.3">
      <c r="A167" t="s">
        <v>1504</v>
      </c>
      <c r="B167" t="s">
        <v>1585</v>
      </c>
      <c r="C167">
        <v>7</v>
      </c>
      <c r="D167" t="s">
        <v>0</v>
      </c>
      <c r="E167" t="s">
        <v>1492</v>
      </c>
      <c r="F167" t="s">
        <v>883</v>
      </c>
      <c r="G167" t="s">
        <v>2680</v>
      </c>
      <c r="H167" t="s">
        <v>2436</v>
      </c>
      <c r="I167" t="s">
        <v>2681</v>
      </c>
    </row>
    <row r="168" spans="1:9" ht="15" customHeight="1" x14ac:dyDescent="0.3">
      <c r="A168" t="s">
        <v>1505</v>
      </c>
      <c r="B168" t="s">
        <v>1585</v>
      </c>
      <c r="C168">
        <v>9</v>
      </c>
      <c r="D168" t="s">
        <v>0</v>
      </c>
      <c r="E168" t="s">
        <v>1528</v>
      </c>
      <c r="F168" t="s">
        <v>883</v>
      </c>
      <c r="G168" t="s">
        <v>2680</v>
      </c>
      <c r="H168" t="s">
        <v>2440</v>
      </c>
      <c r="I168" t="s">
        <v>2681</v>
      </c>
    </row>
    <row r="169" spans="1:9" ht="15" customHeight="1" x14ac:dyDescent="0.3">
      <c r="A169" t="s">
        <v>1506</v>
      </c>
      <c r="B169" t="s">
        <v>1585</v>
      </c>
      <c r="C169">
        <v>10</v>
      </c>
      <c r="D169" t="s">
        <v>0</v>
      </c>
      <c r="E169" t="s">
        <v>1529</v>
      </c>
      <c r="F169" t="s">
        <v>883</v>
      </c>
      <c r="G169" t="s">
        <v>2680</v>
      </c>
      <c r="H169" t="s">
        <v>2444</v>
      </c>
      <c r="I169" t="s">
        <v>2681</v>
      </c>
    </row>
    <row r="170" spans="1:9" ht="15" customHeight="1" x14ac:dyDescent="0.3">
      <c r="A170" t="s">
        <v>1507</v>
      </c>
      <c r="B170" t="s">
        <v>1585</v>
      </c>
      <c r="C170">
        <v>11</v>
      </c>
      <c r="D170" t="s">
        <v>0</v>
      </c>
      <c r="E170" t="s">
        <v>1647</v>
      </c>
      <c r="F170" t="s">
        <v>883</v>
      </c>
      <c r="G170" t="s">
        <v>2680</v>
      </c>
      <c r="H170" t="s">
        <v>2448</v>
      </c>
      <c r="I170" t="s">
        <v>2681</v>
      </c>
    </row>
    <row r="171" spans="1:9" ht="15" customHeight="1" x14ac:dyDescent="0.3">
      <c r="A171" t="s">
        <v>1508</v>
      </c>
      <c r="B171" t="s">
        <v>1585</v>
      </c>
      <c r="C171">
        <v>12</v>
      </c>
      <c r="D171" t="s">
        <v>0</v>
      </c>
      <c r="E171" t="s">
        <v>1530</v>
      </c>
      <c r="F171" t="s">
        <v>883</v>
      </c>
      <c r="G171" t="s">
        <v>2680</v>
      </c>
      <c r="H171" t="s">
        <v>2452</v>
      </c>
      <c r="I171" t="s">
        <v>2681</v>
      </c>
    </row>
    <row r="172" spans="1:9" ht="15" customHeight="1" x14ac:dyDescent="0.3">
      <c r="A172" t="s">
        <v>1509</v>
      </c>
      <c r="B172" t="s">
        <v>1585</v>
      </c>
      <c r="C172">
        <v>13</v>
      </c>
      <c r="D172" t="s">
        <v>0</v>
      </c>
      <c r="E172" t="s">
        <v>1531</v>
      </c>
      <c r="F172" t="s">
        <v>883</v>
      </c>
      <c r="G172" t="s">
        <v>2680</v>
      </c>
      <c r="H172" t="s">
        <v>2456</v>
      </c>
      <c r="I172" t="s">
        <v>2681</v>
      </c>
    </row>
    <row r="173" spans="1:9" ht="15" customHeight="1" x14ac:dyDescent="0.3">
      <c r="A173" t="s">
        <v>1510</v>
      </c>
      <c r="B173" t="s">
        <v>1585</v>
      </c>
      <c r="C173">
        <v>14</v>
      </c>
      <c r="D173" t="s">
        <v>0</v>
      </c>
      <c r="E173" t="s">
        <v>1648</v>
      </c>
      <c r="F173" t="s">
        <v>883</v>
      </c>
      <c r="G173" t="s">
        <v>2680</v>
      </c>
      <c r="H173" t="s">
        <v>2460</v>
      </c>
      <c r="I173" t="s">
        <v>2681</v>
      </c>
    </row>
    <row r="174" spans="1:9" ht="15" customHeight="1" x14ac:dyDescent="0.3">
      <c r="A174" t="s">
        <v>1511</v>
      </c>
      <c r="B174" t="s">
        <v>1585</v>
      </c>
      <c r="C174">
        <v>15</v>
      </c>
      <c r="D174" t="s">
        <v>0</v>
      </c>
      <c r="E174" t="s">
        <v>1532</v>
      </c>
      <c r="F174" t="s">
        <v>883</v>
      </c>
      <c r="G174" t="s">
        <v>2680</v>
      </c>
      <c r="H174" t="s">
        <v>2464</v>
      </c>
      <c r="I174" t="s">
        <v>2681</v>
      </c>
    </row>
    <row r="175" spans="1:9" ht="15" customHeight="1" x14ac:dyDescent="0.3">
      <c r="A175" t="s">
        <v>1512</v>
      </c>
      <c r="B175" t="s">
        <v>1585</v>
      </c>
      <c r="C175">
        <v>16</v>
      </c>
      <c r="D175" t="s">
        <v>0</v>
      </c>
      <c r="E175" t="s">
        <v>1533</v>
      </c>
      <c r="F175" t="s">
        <v>883</v>
      </c>
      <c r="G175" t="s">
        <v>2680</v>
      </c>
      <c r="H175" t="s">
        <v>2468</v>
      </c>
      <c r="I175" t="s">
        <v>2681</v>
      </c>
    </row>
    <row r="176" spans="1:9" ht="15" customHeight="1" x14ac:dyDescent="0.3">
      <c r="A176" t="s">
        <v>1513</v>
      </c>
      <c r="B176" t="s">
        <v>1585</v>
      </c>
      <c r="C176">
        <v>17</v>
      </c>
      <c r="D176" t="s">
        <v>0</v>
      </c>
      <c r="E176" t="s">
        <v>1649</v>
      </c>
      <c r="F176" t="s">
        <v>883</v>
      </c>
      <c r="G176" t="s">
        <v>2680</v>
      </c>
      <c r="H176" t="s">
        <v>2472</v>
      </c>
      <c r="I176" t="s">
        <v>2681</v>
      </c>
    </row>
    <row r="177" spans="1:9" ht="15" customHeight="1" x14ac:dyDescent="0.3">
      <c r="A177" t="s">
        <v>1514</v>
      </c>
      <c r="B177" t="s">
        <v>1585</v>
      </c>
      <c r="C177">
        <v>18</v>
      </c>
      <c r="D177" t="s">
        <v>0</v>
      </c>
      <c r="E177" t="s">
        <v>1534</v>
      </c>
      <c r="F177" t="s">
        <v>883</v>
      </c>
      <c r="G177" t="s">
        <v>2680</v>
      </c>
      <c r="H177" t="s">
        <v>2476</v>
      </c>
      <c r="I177" t="s">
        <v>2681</v>
      </c>
    </row>
    <row r="178" spans="1:9" ht="15" customHeight="1" x14ac:dyDescent="0.3">
      <c r="A178" t="s">
        <v>1515</v>
      </c>
      <c r="B178" t="s">
        <v>1585</v>
      </c>
      <c r="C178">
        <v>19</v>
      </c>
      <c r="D178" t="s">
        <v>0</v>
      </c>
      <c r="E178" t="s">
        <v>1535</v>
      </c>
      <c r="F178" t="s">
        <v>883</v>
      </c>
      <c r="G178" t="s">
        <v>2680</v>
      </c>
      <c r="H178" t="s">
        <v>2480</v>
      </c>
      <c r="I178" t="s">
        <v>2681</v>
      </c>
    </row>
    <row r="179" spans="1:9" ht="15" customHeight="1" x14ac:dyDescent="0.3">
      <c r="A179" t="s">
        <v>1516</v>
      </c>
      <c r="B179" t="s">
        <v>1585</v>
      </c>
      <c r="C179">
        <v>20</v>
      </c>
      <c r="D179" t="s">
        <v>0</v>
      </c>
      <c r="E179" t="s">
        <v>2682</v>
      </c>
      <c r="F179" t="s">
        <v>883</v>
      </c>
      <c r="G179" t="s">
        <v>2680</v>
      </c>
      <c r="H179" t="s">
        <v>2484</v>
      </c>
      <c r="I179" t="s">
        <v>2681</v>
      </c>
    </row>
    <row r="180" spans="1:9" ht="15" customHeight="1" x14ac:dyDescent="0.3">
      <c r="A180" t="s">
        <v>1549</v>
      </c>
      <c r="B180" t="s">
        <v>1585</v>
      </c>
      <c r="C180">
        <v>21</v>
      </c>
      <c r="D180" t="s">
        <v>0</v>
      </c>
      <c r="E180" t="s">
        <v>2683</v>
      </c>
      <c r="F180" t="s">
        <v>883</v>
      </c>
      <c r="G180" t="s">
        <v>2680</v>
      </c>
      <c r="H180" t="s">
        <v>2488</v>
      </c>
      <c r="I180" t="s">
        <v>2681</v>
      </c>
    </row>
    <row r="181" spans="1:9" ht="15" customHeight="1" x14ac:dyDescent="0.3">
      <c r="A181" t="s">
        <v>1550</v>
      </c>
      <c r="B181" t="s">
        <v>1585</v>
      </c>
      <c r="C181">
        <v>22</v>
      </c>
      <c r="D181" t="s">
        <v>0</v>
      </c>
      <c r="E181" t="s">
        <v>1536</v>
      </c>
      <c r="F181" t="s">
        <v>883</v>
      </c>
      <c r="G181" t="s">
        <v>2680</v>
      </c>
      <c r="H181" t="s">
        <v>2492</v>
      </c>
      <c r="I181" t="s">
        <v>2681</v>
      </c>
    </row>
    <row r="182" spans="1:9" ht="15" customHeight="1" x14ac:dyDescent="0.3">
      <c r="A182" t="s">
        <v>1548</v>
      </c>
      <c r="B182" t="s">
        <v>1585</v>
      </c>
      <c r="C182">
        <v>23</v>
      </c>
      <c r="D182" t="s">
        <v>0</v>
      </c>
      <c r="E182" t="s">
        <v>1537</v>
      </c>
      <c r="F182" t="s">
        <v>883</v>
      </c>
      <c r="G182" t="s">
        <v>2680</v>
      </c>
      <c r="H182" t="s">
        <v>2496</v>
      </c>
      <c r="I182" t="s">
        <v>2681</v>
      </c>
    </row>
    <row r="183" spans="1:9" ht="15" customHeight="1" x14ac:dyDescent="0.3">
      <c r="A183" t="s">
        <v>1551</v>
      </c>
      <c r="B183" t="s">
        <v>1585</v>
      </c>
      <c r="C183">
        <v>24</v>
      </c>
      <c r="D183" t="s">
        <v>0</v>
      </c>
      <c r="E183" t="s">
        <v>1538</v>
      </c>
      <c r="F183" t="s">
        <v>883</v>
      </c>
      <c r="G183" t="s">
        <v>2680</v>
      </c>
      <c r="H183" t="s">
        <v>2500</v>
      </c>
      <c r="I183" t="s">
        <v>2681</v>
      </c>
    </row>
    <row r="184" spans="1:9" ht="15" customHeight="1" x14ac:dyDescent="0.3">
      <c r="A184" t="s">
        <v>1552</v>
      </c>
      <c r="B184" t="s">
        <v>1585</v>
      </c>
      <c r="C184">
        <v>25</v>
      </c>
      <c r="D184" t="s">
        <v>0</v>
      </c>
      <c r="E184" t="s">
        <v>1539</v>
      </c>
      <c r="F184" t="s">
        <v>883</v>
      </c>
      <c r="G184" t="s">
        <v>2680</v>
      </c>
      <c r="H184" t="s">
        <v>2504</v>
      </c>
      <c r="I184" t="s">
        <v>2681</v>
      </c>
    </row>
    <row r="185" spans="1:9" ht="15" customHeight="1" x14ac:dyDescent="0.3">
      <c r="A185" t="s">
        <v>1553</v>
      </c>
      <c r="B185" t="s">
        <v>1585</v>
      </c>
      <c r="C185">
        <v>26</v>
      </c>
      <c r="D185" t="s">
        <v>0</v>
      </c>
      <c r="E185" t="s">
        <v>1540</v>
      </c>
      <c r="F185" t="s">
        <v>883</v>
      </c>
      <c r="G185" t="s">
        <v>2680</v>
      </c>
      <c r="H185" t="s">
        <v>2508</v>
      </c>
      <c r="I185" t="s">
        <v>2681</v>
      </c>
    </row>
    <row r="186" spans="1:9" ht="15" customHeight="1" x14ac:dyDescent="0.3">
      <c r="A186" t="s">
        <v>1555</v>
      </c>
      <c r="B186" t="s">
        <v>1585</v>
      </c>
      <c r="C186">
        <v>27</v>
      </c>
      <c r="D186" t="s">
        <v>0</v>
      </c>
      <c r="E186" t="s">
        <v>1562</v>
      </c>
      <c r="F186" t="s">
        <v>883</v>
      </c>
      <c r="G186" t="s">
        <v>2680</v>
      </c>
      <c r="H186" t="s">
        <v>2512</v>
      </c>
      <c r="I186" t="s">
        <v>2681</v>
      </c>
    </row>
    <row r="187" spans="1:9" ht="15" customHeight="1" x14ac:dyDescent="0.3">
      <c r="A187" t="s">
        <v>1556</v>
      </c>
      <c r="B187" t="s">
        <v>1585</v>
      </c>
      <c r="C187">
        <v>28</v>
      </c>
      <c r="D187" t="s">
        <v>0</v>
      </c>
      <c r="E187" t="s">
        <v>1563</v>
      </c>
      <c r="F187" t="s">
        <v>883</v>
      </c>
      <c r="G187" t="s">
        <v>2680</v>
      </c>
      <c r="H187" t="s">
        <v>2516</v>
      </c>
      <c r="I187" t="s">
        <v>2681</v>
      </c>
    </row>
    <row r="188" spans="1:9" ht="15" customHeight="1" x14ac:dyDescent="0.3">
      <c r="A188" t="s">
        <v>1554</v>
      </c>
      <c r="B188" t="s">
        <v>1585</v>
      </c>
      <c r="C188">
        <v>29</v>
      </c>
      <c r="D188" t="s">
        <v>0</v>
      </c>
      <c r="E188" t="s">
        <v>1564</v>
      </c>
      <c r="F188" t="s">
        <v>883</v>
      </c>
      <c r="G188" t="s">
        <v>2680</v>
      </c>
      <c r="H188" t="s">
        <v>2520</v>
      </c>
      <c r="I188" t="s">
        <v>2681</v>
      </c>
    </row>
    <row r="189" spans="1:9" ht="15" customHeight="1" x14ac:dyDescent="0.3">
      <c r="A189" t="s">
        <v>1557</v>
      </c>
      <c r="B189" t="s">
        <v>1585</v>
      </c>
      <c r="C189">
        <v>30</v>
      </c>
      <c r="D189" t="s">
        <v>0</v>
      </c>
      <c r="E189" t="s">
        <v>1565</v>
      </c>
      <c r="F189" t="s">
        <v>883</v>
      </c>
      <c r="G189" t="s">
        <v>2680</v>
      </c>
      <c r="H189" t="s">
        <v>2524</v>
      </c>
      <c r="I189" t="s">
        <v>2681</v>
      </c>
    </row>
    <row r="190" spans="1:9" ht="15" customHeight="1" x14ac:dyDescent="0.3">
      <c r="A190" t="s">
        <v>1558</v>
      </c>
      <c r="B190" t="s">
        <v>1585</v>
      </c>
      <c r="C190">
        <v>31</v>
      </c>
      <c r="D190" t="s">
        <v>0</v>
      </c>
      <c r="E190" t="s">
        <v>1566</v>
      </c>
      <c r="F190" t="s">
        <v>883</v>
      </c>
      <c r="G190" t="s">
        <v>2680</v>
      </c>
      <c r="H190" t="s">
        <v>2528</v>
      </c>
      <c r="I190" t="s">
        <v>2681</v>
      </c>
    </row>
    <row r="191" spans="1:9" ht="15" customHeight="1" x14ac:dyDescent="0.3">
      <c r="A191" t="s">
        <v>1559</v>
      </c>
      <c r="B191" t="s">
        <v>1585</v>
      </c>
      <c r="C191">
        <v>32</v>
      </c>
      <c r="D191" t="s">
        <v>0</v>
      </c>
      <c r="E191" t="s">
        <v>1567</v>
      </c>
      <c r="F191" t="s">
        <v>883</v>
      </c>
      <c r="G191" t="s">
        <v>2680</v>
      </c>
      <c r="H191" t="s">
        <v>2532</v>
      </c>
      <c r="I191" t="s">
        <v>2681</v>
      </c>
    </row>
    <row r="192" spans="1:9" ht="15" customHeight="1" x14ac:dyDescent="0.3">
      <c r="A192" t="s">
        <v>1560</v>
      </c>
      <c r="B192" t="s">
        <v>1585</v>
      </c>
      <c r="C192">
        <v>33</v>
      </c>
      <c r="D192" t="s">
        <v>0</v>
      </c>
      <c r="E192" t="s">
        <v>1568</v>
      </c>
      <c r="F192" t="s">
        <v>883</v>
      </c>
      <c r="G192" t="s">
        <v>2680</v>
      </c>
      <c r="H192" t="s">
        <v>2536</v>
      </c>
      <c r="I192" t="s">
        <v>2681</v>
      </c>
    </row>
    <row r="193" spans="1:9" ht="15" customHeight="1" x14ac:dyDescent="0.3">
      <c r="A193" t="s">
        <v>1561</v>
      </c>
      <c r="B193" t="s">
        <v>1585</v>
      </c>
      <c r="C193">
        <v>34</v>
      </c>
      <c r="D193" t="s">
        <v>0</v>
      </c>
      <c r="E193" t="s">
        <v>1569</v>
      </c>
      <c r="F193" t="s">
        <v>883</v>
      </c>
      <c r="G193" t="s">
        <v>2680</v>
      </c>
      <c r="H193" t="s">
        <v>2540</v>
      </c>
      <c r="I193" t="s">
        <v>2681</v>
      </c>
    </row>
    <row r="194" spans="1:9" ht="15" customHeight="1" x14ac:dyDescent="0.3">
      <c r="A194" t="s">
        <v>1580</v>
      </c>
      <c r="B194" t="s">
        <v>1585</v>
      </c>
      <c r="C194">
        <v>35</v>
      </c>
      <c r="D194" t="s">
        <v>0</v>
      </c>
      <c r="E194" t="s">
        <v>1570</v>
      </c>
      <c r="F194" t="s">
        <v>883</v>
      </c>
      <c r="G194" t="s">
        <v>2680</v>
      </c>
      <c r="H194" t="s">
        <v>2544</v>
      </c>
      <c r="I194" t="s">
        <v>2681</v>
      </c>
    </row>
    <row r="195" spans="1:9" ht="15" customHeight="1" x14ac:dyDescent="0.3">
      <c r="A195" t="s">
        <v>1581</v>
      </c>
      <c r="B195" t="s">
        <v>1585</v>
      </c>
      <c r="C195">
        <v>36</v>
      </c>
      <c r="D195" t="s">
        <v>0</v>
      </c>
      <c r="E195" t="s">
        <v>1571</v>
      </c>
      <c r="F195" t="s">
        <v>883</v>
      </c>
      <c r="G195" t="s">
        <v>2680</v>
      </c>
      <c r="H195" t="s">
        <v>2548</v>
      </c>
      <c r="I195" t="s">
        <v>2681</v>
      </c>
    </row>
    <row r="196" spans="1:9" ht="15" customHeight="1" x14ac:dyDescent="0.3">
      <c r="A196" t="s">
        <v>1582</v>
      </c>
      <c r="B196" t="s">
        <v>1585</v>
      </c>
      <c r="C196">
        <v>37</v>
      </c>
      <c r="D196" t="s">
        <v>0</v>
      </c>
      <c r="E196" t="s">
        <v>1572</v>
      </c>
      <c r="F196" t="s">
        <v>883</v>
      </c>
      <c r="G196" t="s">
        <v>2680</v>
      </c>
      <c r="H196" t="s">
        <v>2552</v>
      </c>
      <c r="I196" t="s">
        <v>2681</v>
      </c>
    </row>
    <row r="197" spans="1:9" ht="15" customHeight="1" x14ac:dyDescent="0.3">
      <c r="A197" t="s">
        <v>1583</v>
      </c>
      <c r="B197" t="s">
        <v>1585</v>
      </c>
      <c r="C197">
        <v>38</v>
      </c>
      <c r="D197" t="s">
        <v>0</v>
      </c>
      <c r="E197" t="s">
        <v>1573</v>
      </c>
      <c r="F197" t="s">
        <v>883</v>
      </c>
      <c r="G197" t="s">
        <v>2680</v>
      </c>
      <c r="H197" t="s">
        <v>2556</v>
      </c>
      <c r="I197" t="s">
        <v>2681</v>
      </c>
    </row>
    <row r="198" spans="1:9" ht="15" customHeight="1" x14ac:dyDescent="0.3">
      <c r="A198" t="s">
        <v>1442</v>
      </c>
      <c r="B198" t="s">
        <v>1585</v>
      </c>
      <c r="C198">
        <v>1</v>
      </c>
      <c r="D198" t="s">
        <v>0</v>
      </c>
      <c r="E198" t="s">
        <v>1493</v>
      </c>
      <c r="F198" t="s">
        <v>883</v>
      </c>
      <c r="G198" t="s">
        <v>2684</v>
      </c>
      <c r="H198" t="s">
        <v>1442</v>
      </c>
      <c r="I198" t="s">
        <v>2685</v>
      </c>
    </row>
    <row r="199" spans="1:9" ht="15" customHeight="1" x14ac:dyDescent="0.3">
      <c r="A199" t="s">
        <v>1443</v>
      </c>
      <c r="B199" t="s">
        <v>1585</v>
      </c>
      <c r="C199">
        <v>2</v>
      </c>
      <c r="D199" t="s">
        <v>0</v>
      </c>
      <c r="E199" t="s">
        <v>1494</v>
      </c>
      <c r="F199" t="s">
        <v>883</v>
      </c>
      <c r="G199" t="s">
        <v>2684</v>
      </c>
      <c r="H199" t="s">
        <v>1443</v>
      </c>
      <c r="I199" t="s">
        <v>2685</v>
      </c>
    </row>
    <row r="200" spans="1:9" ht="15" customHeight="1" x14ac:dyDescent="0.3">
      <c r="A200" t="s">
        <v>1621</v>
      </c>
      <c r="B200" t="s">
        <v>1585</v>
      </c>
      <c r="C200">
        <v>3</v>
      </c>
      <c r="D200" t="s">
        <v>0</v>
      </c>
      <c r="E200" t="s">
        <v>1650</v>
      </c>
      <c r="F200" t="s">
        <v>883</v>
      </c>
      <c r="G200" t="s">
        <v>2684</v>
      </c>
      <c r="H200" t="s">
        <v>2566</v>
      </c>
      <c r="I200" t="s">
        <v>2685</v>
      </c>
    </row>
    <row r="201" spans="1:9" ht="15" customHeight="1" x14ac:dyDescent="0.3">
      <c r="A201" t="s">
        <v>1622</v>
      </c>
      <c r="B201" t="s">
        <v>1585</v>
      </c>
      <c r="C201">
        <v>4</v>
      </c>
      <c r="D201" t="s">
        <v>0</v>
      </c>
      <c r="E201" t="s">
        <v>1651</v>
      </c>
      <c r="F201" t="s">
        <v>883</v>
      </c>
      <c r="G201" t="s">
        <v>2684</v>
      </c>
      <c r="H201" t="s">
        <v>2570</v>
      </c>
      <c r="I201" t="s">
        <v>2685</v>
      </c>
    </row>
    <row r="202" spans="1:9" ht="15" customHeight="1" x14ac:dyDescent="0.3">
      <c r="A202" t="s">
        <v>3203</v>
      </c>
      <c r="B202" t="s">
        <v>1585</v>
      </c>
      <c r="C202">
        <v>1</v>
      </c>
      <c r="D202" t="s">
        <v>0</v>
      </c>
      <c r="E202" t="s">
        <v>1498</v>
      </c>
      <c r="F202" t="s">
        <v>883</v>
      </c>
      <c r="G202" t="s">
        <v>2686</v>
      </c>
      <c r="H202" t="s">
        <v>3204</v>
      </c>
      <c r="I202" t="s">
        <v>2687</v>
      </c>
    </row>
    <row r="203" spans="1:9" ht="15" customHeight="1" x14ac:dyDescent="0.3">
      <c r="A203" t="s">
        <v>1522</v>
      </c>
      <c r="B203" t="s">
        <v>1585</v>
      </c>
      <c r="C203">
        <v>2</v>
      </c>
      <c r="D203" t="s">
        <v>0</v>
      </c>
      <c r="E203" t="s">
        <v>1541</v>
      </c>
      <c r="F203" t="s">
        <v>883</v>
      </c>
      <c r="G203" t="s">
        <v>2686</v>
      </c>
      <c r="H203" t="s">
        <v>2574</v>
      </c>
      <c r="I203" t="s">
        <v>2687</v>
      </c>
    </row>
    <row r="204" spans="1:9" ht="15" customHeight="1" x14ac:dyDescent="0.3">
      <c r="A204" t="s">
        <v>1523</v>
      </c>
      <c r="B204" t="s">
        <v>1585</v>
      </c>
      <c r="C204">
        <v>3</v>
      </c>
      <c r="D204" t="s">
        <v>0</v>
      </c>
      <c r="E204" t="s">
        <v>1542</v>
      </c>
      <c r="F204" t="s">
        <v>883</v>
      </c>
      <c r="G204" t="s">
        <v>2686</v>
      </c>
      <c r="H204" t="s">
        <v>2578</v>
      </c>
      <c r="I204" t="s">
        <v>2687</v>
      </c>
    </row>
    <row r="205" spans="1:9" ht="15" customHeight="1" x14ac:dyDescent="0.3">
      <c r="A205" t="s">
        <v>1524</v>
      </c>
      <c r="B205" t="s">
        <v>1585</v>
      </c>
      <c r="C205">
        <v>4</v>
      </c>
      <c r="D205" t="s">
        <v>0</v>
      </c>
      <c r="E205" t="s">
        <v>1543</v>
      </c>
      <c r="F205" t="s">
        <v>883</v>
      </c>
      <c r="G205" t="s">
        <v>2686</v>
      </c>
      <c r="H205" t="s">
        <v>2582</v>
      </c>
      <c r="I205" t="s">
        <v>2687</v>
      </c>
    </row>
    <row r="206" spans="1:9" ht="15" customHeight="1" x14ac:dyDescent="0.3">
      <c r="A206" t="s">
        <v>1525</v>
      </c>
      <c r="B206" t="s">
        <v>1585</v>
      </c>
      <c r="C206">
        <v>5</v>
      </c>
      <c r="D206" t="s">
        <v>0</v>
      </c>
      <c r="E206" t="s">
        <v>1544</v>
      </c>
      <c r="F206" t="s">
        <v>883</v>
      </c>
      <c r="G206" t="s">
        <v>2686</v>
      </c>
      <c r="H206" t="s">
        <v>2586</v>
      </c>
      <c r="I206" t="s">
        <v>2687</v>
      </c>
    </row>
    <row r="207" spans="1:9" ht="15" customHeight="1" x14ac:dyDescent="0.3">
      <c r="A207" t="s">
        <v>1526</v>
      </c>
      <c r="B207" t="s">
        <v>1585</v>
      </c>
      <c r="C207">
        <v>6</v>
      </c>
      <c r="D207" t="s">
        <v>0</v>
      </c>
      <c r="E207" t="s">
        <v>1545</v>
      </c>
      <c r="F207" t="s">
        <v>883</v>
      </c>
      <c r="G207" t="s">
        <v>2686</v>
      </c>
      <c r="H207" t="s">
        <v>2590</v>
      </c>
      <c r="I207" t="s">
        <v>2687</v>
      </c>
    </row>
    <row r="208" spans="1:9" ht="15" customHeight="1" x14ac:dyDescent="0.3">
      <c r="A208" t="s">
        <v>1527</v>
      </c>
      <c r="B208" t="s">
        <v>1585</v>
      </c>
      <c r="C208">
        <v>7</v>
      </c>
      <c r="D208" t="s">
        <v>0</v>
      </c>
      <c r="E208" t="s">
        <v>1546</v>
      </c>
      <c r="F208" t="s">
        <v>883</v>
      </c>
      <c r="G208" t="s">
        <v>2686</v>
      </c>
      <c r="H208" t="s">
        <v>2594</v>
      </c>
      <c r="I208" t="s">
        <v>2687</v>
      </c>
    </row>
    <row r="209" spans="1:9" ht="15" customHeight="1" x14ac:dyDescent="0.3">
      <c r="A209" t="s">
        <v>1623</v>
      </c>
      <c r="B209" t="s">
        <v>1585</v>
      </c>
      <c r="C209">
        <v>8</v>
      </c>
      <c r="D209" t="s">
        <v>0</v>
      </c>
      <c r="E209" t="s">
        <v>1547</v>
      </c>
      <c r="F209" t="s">
        <v>883</v>
      </c>
      <c r="G209" t="s">
        <v>2686</v>
      </c>
      <c r="H209" t="s">
        <v>2598</v>
      </c>
      <c r="I209" t="s">
        <v>2687</v>
      </c>
    </row>
    <row r="210" spans="1:9" ht="15" customHeight="1" x14ac:dyDescent="0.3">
      <c r="A210" t="s">
        <v>2690</v>
      </c>
      <c r="B210" t="s">
        <v>1585</v>
      </c>
      <c r="C210">
        <v>9</v>
      </c>
      <c r="D210" t="s">
        <v>0</v>
      </c>
      <c r="E210" t="s">
        <v>1652</v>
      </c>
      <c r="F210" t="s">
        <v>883</v>
      </c>
      <c r="G210" t="s">
        <v>2686</v>
      </c>
      <c r="H210" t="s">
        <v>2691</v>
      </c>
      <c r="I210" t="s">
        <v>2687</v>
      </c>
    </row>
    <row r="211" spans="1:9" ht="15" customHeight="1" x14ac:dyDescent="0.3">
      <c r="A211" t="s">
        <v>1624</v>
      </c>
      <c r="B211" t="s">
        <v>1585</v>
      </c>
      <c r="C211">
        <v>10</v>
      </c>
      <c r="D211" t="s">
        <v>0</v>
      </c>
      <c r="E211" t="s">
        <v>1653</v>
      </c>
      <c r="F211" t="s">
        <v>883</v>
      </c>
      <c r="G211" t="s">
        <v>2686</v>
      </c>
      <c r="H211" t="s">
        <v>2602</v>
      </c>
      <c r="I211" t="s">
        <v>2687</v>
      </c>
    </row>
    <row r="212" spans="1:9" ht="15" customHeight="1" x14ac:dyDescent="0.3">
      <c r="A212" t="s">
        <v>1625</v>
      </c>
      <c r="B212" t="s">
        <v>1585</v>
      </c>
      <c r="C212">
        <v>11</v>
      </c>
      <c r="D212" t="s">
        <v>0</v>
      </c>
      <c r="E212" t="s">
        <v>1654</v>
      </c>
      <c r="F212" t="s">
        <v>883</v>
      </c>
      <c r="G212" t="s">
        <v>2686</v>
      </c>
      <c r="H212" t="s">
        <v>2606</v>
      </c>
      <c r="I212" t="s">
        <v>2687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B7DC-34D4-4CA6-A33C-B4738D3A52A0}">
  <sheetPr codeName="Sheet5">
    <tabColor theme="4" tint="-0.499984740745262"/>
  </sheetPr>
  <dimension ref="A1:M62"/>
  <sheetViews>
    <sheetView tabSelected="1" topLeftCell="B1" zoomScaleNormal="100" workbookViewId="0">
      <selection activeCell="L3" sqref="L3"/>
    </sheetView>
  </sheetViews>
  <sheetFormatPr defaultRowHeight="16.5" x14ac:dyDescent="0.3"/>
  <cols>
    <col min="1" max="1" width="22.375" bestFit="1" customWidth="1"/>
    <col min="2" max="2" width="16.75" style="3" customWidth="1"/>
    <col min="3" max="3" width="9.5" bestFit="1" customWidth="1"/>
    <col min="4" max="4" width="15.875" customWidth="1"/>
    <col min="5" max="5" width="21.625" bestFit="1" customWidth="1"/>
    <col min="6" max="6" width="7.375" bestFit="1" customWidth="1"/>
    <col min="7" max="7" width="5.125" bestFit="1" customWidth="1"/>
    <col min="8" max="8" width="2.625" customWidth="1"/>
    <col min="9" max="9" width="20.75" customWidth="1"/>
    <col min="10" max="10" width="26.75" customWidth="1"/>
    <col min="12" max="12" width="31" customWidth="1"/>
  </cols>
  <sheetData>
    <row r="1" spans="1:13" x14ac:dyDescent="0.3">
      <c r="A1" t="s">
        <v>141</v>
      </c>
      <c r="B1" t="s">
        <v>7</v>
      </c>
      <c r="C1" s="3" t="s">
        <v>132</v>
      </c>
      <c r="D1" s="3" t="s">
        <v>1609</v>
      </c>
      <c r="E1" t="s">
        <v>5</v>
      </c>
      <c r="F1" t="s">
        <v>2</v>
      </c>
      <c r="G1" t="s">
        <v>3</v>
      </c>
      <c r="H1" t="s">
        <v>4</v>
      </c>
      <c r="I1" t="s">
        <v>31</v>
      </c>
      <c r="J1" t="s">
        <v>34</v>
      </c>
      <c r="K1" t="s">
        <v>32</v>
      </c>
      <c r="L1" t="s">
        <v>33</v>
      </c>
      <c r="M1" t="s">
        <v>162</v>
      </c>
    </row>
    <row r="2" spans="1:13" x14ac:dyDescent="0.3">
      <c r="A2" t="s">
        <v>142</v>
      </c>
      <c r="B2" t="s">
        <v>611</v>
      </c>
      <c r="C2" s="3"/>
      <c r="D2" t="str" cm="1">
        <f t="array" ref="D2">GetSystemFromTag(AnalogueMeasure[[#This Row],[Obj]])</f>
        <v>N/A</v>
      </c>
      <c r="E2" t="str">
        <f>SUBSTITUTE(AnalogueMeasure[[#This Row],[RealTag]],"-","_")</f>
        <v>SPARE_AI_0</v>
      </c>
      <c r="F2" t="str">
        <f>"_" &amp; AnalogueMeasure[[#This Row],[Obj]]</f>
        <v>_SPARE_AI_0</v>
      </c>
      <c r="G2" t="s">
        <v>0</v>
      </c>
      <c r="H2">
        <f>ROW()-2</f>
        <v>0</v>
      </c>
      <c r="I2" t="s">
        <v>1585</v>
      </c>
      <c r="J2" t="s">
        <v>3367</v>
      </c>
      <c r="K2" t="str">
        <f>SUBSTITUTE(HMIPATH_AnalogueMeasure,"$",AnalogueMeasure[[#This Row],[ID]])</f>
        <v>ObjAnalogueMeasure.InOut[0]</v>
      </c>
      <c r="L2" t="str" cm="1">
        <f t="array" ref="L2">FAnalogueMeasure(AnalogueMeasure[[#This Row],[Obj]],AnalogueMeasure[[#This Row],[SubSystem]])</f>
        <v/>
      </c>
      <c r="M2" t="str" cm="1">
        <f t="array" ref="M2">AnaMeasureAMS(AnalogueMeasure[[#This Row],[Tag]])</f>
        <v/>
      </c>
    </row>
    <row r="3" spans="1:13" x14ac:dyDescent="0.3">
      <c r="A3" t="s">
        <v>142</v>
      </c>
      <c r="B3" t="s">
        <v>1331</v>
      </c>
      <c r="C3" t="s">
        <v>1442</v>
      </c>
      <c r="D3" t="str" cm="1">
        <f t="array" ref="D3">GetSystemFromTag(AnalogueMeasure[[#This Row],[Obj]])</f>
        <v>HVAC_R00111</v>
      </c>
      <c r="E3" t="str">
        <f>SUBSTITUTE(AnalogueMeasure[[#This Row],[RealTag]],"-","_")</f>
        <v>MTT_00111_001_T</v>
      </c>
      <c r="F3" t="str">
        <f>"_" &amp; AnalogueMeasure[[#This Row],[Obj]]</f>
        <v>_MTT_00111_001_T</v>
      </c>
      <c r="G3" t="s">
        <v>0</v>
      </c>
      <c r="H3">
        <f t="shared" ref="H3" si="0">ROW()-2</f>
        <v>1</v>
      </c>
      <c r="I3" t="s">
        <v>1585</v>
      </c>
      <c r="J3" t="s">
        <v>3367</v>
      </c>
      <c r="K3" t="str">
        <f>SUBSTITUTE(HMIPATH_AnalogueMeasure,"$",AnalogueMeasure[[#This Row],[ID]])</f>
        <v>ObjAnalogueMeasure.InOut[1]</v>
      </c>
      <c r="L3" t="str">
        <f>FAnalogueMeasure(AnalogueMeasure[[#This Row],[Obj]],AnalogueMeasure[[#This Row],[Tag]])</f>
        <v xml:space="preserve">#MTT_00111_001_T(measure:="MTT-00111-001_T",_x000D_
reset:=#Unit.AHU.Command.General_reset,
           Process:=#Unit.MTT_00111_001_T,
           InOut:=ObjAnalogMeasure.InOut[_MTT_00111_001_T],
           Parameters:=ObjAnalogMeasure.Parameters[_MTT_00111_001_T],
           Settings:=ObjAnalogMeasure.Settings[_MTT_00111_001_T]);
</v>
      </c>
      <c r="M3" t="str" cm="1">
        <f t="array" ref="M3">AnaMeasureAMS(AnalogueMeasure[[#This Row],[Tag]])</f>
        <v xml:space="preserve">"AlarmWarningAMS"(Base:=#Sensor.InOut[_MTT_00111_001_T].Base,
                  ConfigAMS:=#Sensor.AMS[_MTT_00111_001_T],
                  ResultAMS:=#Unit.AMS);
</v>
      </c>
    </row>
    <row r="4" spans="1:13" x14ac:dyDescent="0.3">
      <c r="A4" t="s">
        <v>142</v>
      </c>
      <c r="B4" t="s">
        <v>1333</v>
      </c>
      <c r="C4" t="s">
        <v>1442</v>
      </c>
      <c r="D4" t="str" cm="1">
        <f t="array" ref="D4">GetSystemFromTag(AnalogueMeasure[[#This Row],[Obj]])</f>
        <v>HVAC_R00111</v>
      </c>
      <c r="E4" t="str">
        <f>SUBSTITUTE(AnalogueMeasure[[#This Row],[RealTag]],"-","_")</f>
        <v>MTT_00111_001_H</v>
      </c>
      <c r="F4" t="str">
        <f>"_" &amp; AnalogueMeasure[[#This Row],[Obj]]</f>
        <v>_MTT_00111_001_H</v>
      </c>
      <c r="G4" t="s">
        <v>0</v>
      </c>
      <c r="H4">
        <f t="shared" ref="H4" si="1">ROW()-2</f>
        <v>2</v>
      </c>
      <c r="I4" t="s">
        <v>1585</v>
      </c>
      <c r="J4" t="s">
        <v>3367</v>
      </c>
      <c r="K4" t="str">
        <f>SUBSTITUTE(HMIPATH_AnalogueMeasure,"$",AnalogueMeasure[[#This Row],[ID]])</f>
        <v>ObjAnalogueMeasure.InOut[2]</v>
      </c>
      <c r="L4" t="str">
        <f>FAnalogueMeasure(AnalogueMeasure[[#This Row],[Obj]],AnalogueMeasure[[#This Row],[System]])</f>
        <v xml:space="preserve">#MTT_00111_001_H(measure:="MTT-00111-001_H",_x000D_
reset:=#Unit.AHU.Command.General_reset,
           Process:=#Unit.MTT_00111_001_H,
           InOut:=SU01,
           Parameters:="SU01"."MTT_00111_001_H".Parameters,
           Settings:="SU01"."MTT_00111_001_H".Settings);
</v>
      </c>
      <c r="M4" t="str" cm="1">
        <f t="array" ref="M4">AnaMeasureAMS(AnalogueMeasure[[#This Row],[Tag]])</f>
        <v xml:space="preserve">"AlarmWarningAMS"(Base:=#Sensor.InOut[_MTT_00111_001_H].Base,
                  ConfigAMS:=#Sensor.AMS[_MTT_00111_001_H],
                  ResultAMS:=#Unit.AMS);
</v>
      </c>
    </row>
    <row r="5" spans="1:13" x14ac:dyDescent="0.3">
      <c r="A5" t="s">
        <v>142</v>
      </c>
      <c r="B5" t="s">
        <v>1334</v>
      </c>
      <c r="C5" t="s">
        <v>1443</v>
      </c>
      <c r="D5" t="str" cm="1">
        <f t="array" ref="D5">GetSystemFromTag(AnalogueMeasure[[#This Row],[Obj]])</f>
        <v>HVAC_R00112</v>
      </c>
      <c r="E5" t="str">
        <f>SUBSTITUTE(AnalogueMeasure[[#This Row],[RealTag]],"-","_")</f>
        <v>MTT_00112_001_T</v>
      </c>
      <c r="F5" t="str">
        <f>"_" &amp; AnalogueMeasure[[#This Row],[Obj]]</f>
        <v>_MTT_00112_001_T</v>
      </c>
      <c r="G5" t="s">
        <v>0</v>
      </c>
      <c r="H5">
        <f t="shared" ref="H5:H7" si="2">ROW()-2</f>
        <v>3</v>
      </c>
      <c r="I5" t="s">
        <v>1585</v>
      </c>
      <c r="J5" t="s">
        <v>3367</v>
      </c>
      <c r="K5" t="str">
        <f>SUBSTITUTE(HMIPATH_AnalogueMeasure,"$",AnalogueMeasure[[#This Row],[ID]])</f>
        <v>ObjAnalogueMeasure.InOut[3]</v>
      </c>
      <c r="L5" t="str">
        <f>FAnalogueMeasure(AnalogueMeasure[[#This Row],[Obj]],AnalogueMeasure[[#This Row],[System]])</f>
        <v xml:space="preserve">#MTT_00112_001_T(measure:="MTT-00112-001_T",_x000D_
reset:=#Unit.AHU.Command.General_reset,
           Process:=#Unit.MTT_00112_001_T,
           InOut:=SU01B,
           Parameters:="SU01B"."MTT_00112_001_T".Parameters,
           Settings:="SU01B"."MTT_00112_001_T".Settings);
</v>
      </c>
      <c r="M5" t="str" cm="1">
        <f t="array" ref="M5">AnaMeasureAMS(AnalogueMeasure[[#This Row],[Tag]])</f>
        <v xml:space="preserve">"AlarmWarningAMS"(Base:=#Sensor.InOut[_MTT_00112_001_T].Base,
                  ConfigAMS:=#Sensor.AMS[_MTT_00112_001_T],
                  ResultAMS:=#Unit.AMS);
</v>
      </c>
    </row>
    <row r="6" spans="1:13" x14ac:dyDescent="0.3">
      <c r="A6" t="s">
        <v>142</v>
      </c>
      <c r="B6" t="s">
        <v>1332</v>
      </c>
      <c r="C6" t="s">
        <v>1443</v>
      </c>
      <c r="D6" t="str" cm="1">
        <f t="array" ref="D6">GetSystemFromTag(AnalogueMeasure[[#This Row],[Obj]])</f>
        <v>HVAC_R00112</v>
      </c>
      <c r="E6" t="str">
        <f>SUBSTITUTE(AnalogueMeasure[[#This Row],[RealTag]],"-","_")</f>
        <v>MTT_00112_001_H</v>
      </c>
      <c r="F6" t="str">
        <f>"_" &amp; AnalogueMeasure[[#This Row],[Obj]]</f>
        <v>_MTT_00112_001_H</v>
      </c>
      <c r="G6" t="s">
        <v>0</v>
      </c>
      <c r="H6">
        <f t="shared" si="2"/>
        <v>4</v>
      </c>
      <c r="I6" t="s">
        <v>1585</v>
      </c>
      <c r="J6" t="s">
        <v>3367</v>
      </c>
      <c r="K6" t="str">
        <f>SUBSTITUTE(HMIPATH_AnalogueMeasure,"$",AnalogueMeasure[[#This Row],[ID]])</f>
        <v>ObjAnalogueMeasure.InOut[4]</v>
      </c>
      <c r="L6" t="str">
        <f>FAnalogueMeasure(AnalogueMeasure[[#This Row],[Obj]],AnalogueMeasure[[#This Row],[System]])</f>
        <v xml:space="preserve">#MTT_00112_001_H(measure:="MTT-00112-001_H",_x000D_
reset:=#Unit.AHU.Command.General_reset,
           Process:=#Unit.MTT_00112_001_H,
           InOut:=SU01B,
           Parameters:="SU01B"."MTT_00112_001_H".Parameters,
           Settings:="SU01B"."MTT_00112_001_H".Settings);
</v>
      </c>
      <c r="M6" t="str" cm="1">
        <f t="array" ref="M6">AnaMeasureAMS(AnalogueMeasure[[#This Row],[Tag]])</f>
        <v xml:space="preserve">"AlarmWarningAMS"(Base:=#Sensor.InOut[_MTT_00112_001_H].Base,
                  ConfigAMS:=#Sensor.AMS[_MTT_00112_001_H],
                  ResultAMS:=#Unit.AMS);
</v>
      </c>
    </row>
    <row r="7" spans="1:13" ht="15.75" customHeight="1" x14ac:dyDescent="0.3">
      <c r="A7" t="s">
        <v>142</v>
      </c>
      <c r="B7" t="s">
        <v>1450</v>
      </c>
      <c r="C7" t="s">
        <v>1442</v>
      </c>
      <c r="D7" t="str" cm="1">
        <f t="array" ref="D7">GetSystemFromTag(AnalogueMeasure[[#This Row],[Obj]])</f>
        <v>HVAC_SU01</v>
      </c>
      <c r="E7" t="str">
        <f>SUBSTITUTE(AnalogueMeasure[[#This Row],[RealTag]],"-","_")</f>
        <v>TT_SU01_001</v>
      </c>
      <c r="F7" t="str">
        <f>"_" &amp; AnalogueMeasure[[#This Row],[Obj]]</f>
        <v>_TT_SU01_001</v>
      </c>
      <c r="G7" t="s">
        <v>0</v>
      </c>
      <c r="H7">
        <f t="shared" si="2"/>
        <v>5</v>
      </c>
      <c r="I7" t="s">
        <v>1585</v>
      </c>
      <c r="J7" t="s">
        <v>3367</v>
      </c>
      <c r="K7" t="str">
        <f>SUBSTITUTE(HMIPATH_AnalogueMeasure,"$",AnalogueMeasure[[#This Row],[ID]])</f>
        <v>ObjAnalogueMeasure.InOut[5]</v>
      </c>
      <c r="L7" t="str">
        <f>FAnalogueMeasure(AnalogueMeasure[[#This Row],[Obj]],AnalogueMeasure[[#This Row],[System]])</f>
        <v xml:space="preserve">#TT_SU01_001(measure:="TT-SU01-001",_x000D_
reset:=#Unit.AHU.Command.General_reset,
           Process:=#Unit.TT_SU01_001,
           InOut:=SU01,
           Parameters:="SU01"."TT_SU01_001".Parameters,
           Settings:="SU01"."TT_SU01_001".Settings);
</v>
      </c>
      <c r="M7" t="str" cm="1">
        <f t="array" ref="M7">AnaMeasureAMS(AnalogueMeasure[[#This Row],[Tag]])</f>
        <v xml:space="preserve">"AlarmWarningAMS"(Base:=#Sensor.InOut[_TT_SU01_001].Base,
                  ConfigAMS:=#Sensor.AMS[_TT_SU01_001],
                  ResultAMS:=#Unit.AMS);
</v>
      </c>
    </row>
    <row r="8" spans="1:13" x14ac:dyDescent="0.3">
      <c r="A8" t="s">
        <v>142</v>
      </c>
      <c r="B8" t="s">
        <v>1451</v>
      </c>
      <c r="C8" t="s">
        <v>1442</v>
      </c>
      <c r="D8" t="str" cm="1">
        <f t="array" ref="D8">GetSystemFromTag(AnalogueMeasure[[#This Row],[Obj]])</f>
        <v>HVAC_SU01</v>
      </c>
      <c r="E8" t="str">
        <f>SUBSTITUTE(AnalogueMeasure[[#This Row],[RealTag]],"-","_")</f>
        <v>TT_SU01_002</v>
      </c>
      <c r="F8" t="str">
        <f>"_" &amp; AnalogueMeasure[[#This Row],[Obj]]</f>
        <v>_TT_SU01_002</v>
      </c>
      <c r="G8" t="s">
        <v>0</v>
      </c>
      <c r="H8">
        <f t="shared" ref="H8:H12" si="3">ROW()-2</f>
        <v>6</v>
      </c>
      <c r="I8" t="s">
        <v>1585</v>
      </c>
      <c r="J8" t="s">
        <v>3367</v>
      </c>
      <c r="K8" t="str">
        <f>SUBSTITUTE(HMIPATH_AnalogueMeasure,"$",AnalogueMeasure[[#This Row],[ID]])</f>
        <v>ObjAnalogueMeasure.InOut[6]</v>
      </c>
      <c r="L8" t="str">
        <f>FAnalogueMeasure(AnalogueMeasure[[#This Row],[Obj]],AnalogueMeasure[[#This Row],[System]])</f>
        <v xml:space="preserve">#TT_SU01_002(measure:="TT-SU01-002",_x000D_
reset:=#Unit.AHU.Command.General_reset,
           Process:=#Unit.TT_SU01_002,
           InOut:=SU01,
           Parameters:="SU01"."TT_SU01_002".Parameters,
           Settings:="SU01"."TT_SU01_002".Settings);
</v>
      </c>
      <c r="M8" t="str" cm="1">
        <f t="array" ref="M8">AnaMeasureAMS(AnalogueMeasure[[#This Row],[Tag]])</f>
        <v xml:space="preserve">"AlarmWarningAMS"(Base:=#Sensor.InOut[_TT_SU01_002].Base,
                  ConfigAMS:=#Sensor.AMS[_TT_SU01_002],
                  ResultAMS:=#Unit.AMS);
</v>
      </c>
    </row>
    <row r="9" spans="1:13" x14ac:dyDescent="0.3">
      <c r="A9" t="s">
        <v>142</v>
      </c>
      <c r="B9" t="s">
        <v>1452</v>
      </c>
      <c r="C9" t="s">
        <v>1442</v>
      </c>
      <c r="D9" t="str" cm="1">
        <f t="array" ref="D9">GetSystemFromTag(AnalogueMeasure[[#This Row],[Obj]])</f>
        <v>HVAC_SU01</v>
      </c>
      <c r="E9" t="str">
        <f>SUBSTITUTE(AnalogueMeasure[[#This Row],[RealTag]],"-","_")</f>
        <v>TT_SU01_003</v>
      </c>
      <c r="F9" t="str">
        <f>"_" &amp; AnalogueMeasure[[#This Row],[Obj]]</f>
        <v>_TT_SU01_003</v>
      </c>
      <c r="G9" t="s">
        <v>0</v>
      </c>
      <c r="H9">
        <f t="shared" si="3"/>
        <v>7</v>
      </c>
      <c r="I9" t="s">
        <v>1585</v>
      </c>
      <c r="J9" t="s">
        <v>3367</v>
      </c>
      <c r="K9" t="str">
        <f>SUBSTITUTE(HMIPATH_AnalogueMeasure,"$",AnalogueMeasure[[#This Row],[ID]])</f>
        <v>ObjAnalogueMeasure.InOut[7]</v>
      </c>
      <c r="L9" t="str">
        <f>FAnalogueMeasure(AnalogueMeasure[[#This Row],[Obj]],AnalogueMeasure[[#This Row],[System]])</f>
        <v xml:space="preserve">#TT_SU01_003(measure:="TT-SU01-003",_x000D_
reset:=#Unit.AHU.Command.General_reset,
           Process:=#Unit.TT_SU01_003,
           InOut:=SU01,
           Parameters:="SU01"."TT_SU01_003".Parameters,
           Settings:="SU01"."TT_SU01_003".Settings);
</v>
      </c>
      <c r="M9" t="str" cm="1">
        <f t="array" ref="M9">AnaMeasureAMS(AnalogueMeasure[[#This Row],[Tag]])</f>
        <v xml:space="preserve">"AlarmWarningAMS"(Base:=#Sensor.InOut[_TT_SU01_003].Base,
                  ConfigAMS:=#Sensor.AMS[_TT_SU01_003],
                  ResultAMS:=#Unit.AMS);
</v>
      </c>
    </row>
    <row r="10" spans="1:13" x14ac:dyDescent="0.3">
      <c r="A10" t="s">
        <v>142</v>
      </c>
      <c r="B10" t="s">
        <v>1453</v>
      </c>
      <c r="C10" t="s">
        <v>1443</v>
      </c>
      <c r="D10" t="str" cm="1">
        <f t="array" ref="D10">GetSystemFromTag(AnalogueMeasure[[#This Row],[Obj]])</f>
        <v>HVAC_SU01B</v>
      </c>
      <c r="E10" t="str">
        <f>SUBSTITUTE(AnalogueMeasure[[#This Row],[RealTag]],"-","_")</f>
        <v>TT_SU01B_001</v>
      </c>
      <c r="F10" t="str">
        <f>"_" &amp; AnalogueMeasure[[#This Row],[Obj]]</f>
        <v>_TT_SU01B_001</v>
      </c>
      <c r="G10" t="s">
        <v>0</v>
      </c>
      <c r="H10">
        <f t="shared" si="3"/>
        <v>8</v>
      </c>
      <c r="I10" t="s">
        <v>1585</v>
      </c>
      <c r="J10" t="s">
        <v>3367</v>
      </c>
      <c r="K10" t="str">
        <f>SUBSTITUTE(HMIPATH_AnalogueMeasure,"$",AnalogueMeasure[[#This Row],[ID]])</f>
        <v>ObjAnalogueMeasure.InOut[8]</v>
      </c>
      <c r="L10" t="str">
        <f>FAnalogueMeasure(AnalogueMeasure[[#This Row],[Obj]],AnalogueMeasure[[#This Row],[System]])</f>
        <v xml:space="preserve">#TT_SU01B_001(measure:="TT-SU01B-001",_x000D_
reset:=#Unit.AHU.Command.General_reset,
           Process:=#Unit.TT_SU01B_001,
           InOut:=SU01B,
           Parameters:="SU01B"."TT_SU01B_001".Parameters,
           Settings:="SU01B"."TT_SU01B_001".Settings);
</v>
      </c>
      <c r="M10" t="str" cm="1">
        <f t="array" ref="M10">AnaMeasureAMS(AnalogueMeasure[[#This Row],[Tag]])</f>
        <v xml:space="preserve">"AlarmWarningAMS"(Base:=#Sensor.InOut[_TT_SU01B_001].Base,
                  ConfigAMS:=#Sensor.AMS[_TT_SU01B_001],
                  ResultAMS:=#Unit.AMS);
</v>
      </c>
    </row>
    <row r="11" spans="1:13" x14ac:dyDescent="0.3">
      <c r="A11" t="s">
        <v>142</v>
      </c>
      <c r="B11" t="s">
        <v>1454</v>
      </c>
      <c r="C11" t="s">
        <v>1443</v>
      </c>
      <c r="D11" t="str" cm="1">
        <f t="array" ref="D11">GetSystemFromTag(AnalogueMeasure[[#This Row],[Obj]])</f>
        <v>HVAC_SU01B</v>
      </c>
      <c r="E11" t="str">
        <f>SUBSTITUTE(AnalogueMeasure[[#This Row],[RealTag]],"-","_")</f>
        <v>TT_SU01B_002</v>
      </c>
      <c r="F11" t="str">
        <f>"_" &amp; AnalogueMeasure[[#This Row],[Obj]]</f>
        <v>_TT_SU01B_002</v>
      </c>
      <c r="G11" t="s">
        <v>0</v>
      </c>
      <c r="H11">
        <f t="shared" si="3"/>
        <v>9</v>
      </c>
      <c r="I11" t="s">
        <v>1585</v>
      </c>
      <c r="J11" t="s">
        <v>3367</v>
      </c>
      <c r="K11" t="str">
        <f>SUBSTITUTE(HMIPATH_AnalogueMeasure,"$",AnalogueMeasure[[#This Row],[ID]])</f>
        <v>ObjAnalogueMeasure.InOut[9]</v>
      </c>
      <c r="L11" t="str">
        <f>FAnalogueMeasure(AnalogueMeasure[[#This Row],[Obj]],AnalogueMeasure[[#This Row],[System]])</f>
        <v xml:space="preserve">#TT_SU01B_002(measure:="TT-SU01B-002",_x000D_
reset:=#Unit.AHU.Command.General_reset,
           Process:=#Unit.TT_SU01B_002,
           InOut:=SU01B,
           Parameters:="SU01B"."TT_SU01B_002".Parameters,
           Settings:="SU01B"."TT_SU01B_002".Settings);
</v>
      </c>
      <c r="M11" t="str" cm="1">
        <f t="array" ref="M11">AnaMeasureAMS(AnalogueMeasure[[#This Row],[Tag]])</f>
        <v xml:space="preserve">"AlarmWarningAMS"(Base:=#Sensor.InOut[_TT_SU01B_002].Base,
                  ConfigAMS:=#Sensor.AMS[_TT_SU01B_002],
                  ResultAMS:=#Unit.AMS);
</v>
      </c>
    </row>
    <row r="12" spans="1:13" x14ac:dyDescent="0.3">
      <c r="A12" t="s">
        <v>142</v>
      </c>
      <c r="B12" t="s">
        <v>921</v>
      </c>
      <c r="C12" t="s">
        <v>1442</v>
      </c>
      <c r="D12" t="str" cm="1">
        <f t="array" ref="D12">GetSystemFromTag(AnalogueMeasure[[#This Row],[Obj]])</f>
        <v>HVAC_R00103</v>
      </c>
      <c r="E12" t="str">
        <f>SUBSTITUTE(AnalogueMeasure[[#This Row],[RealTag]],"-","_")</f>
        <v>TT_00103_001</v>
      </c>
      <c r="F12" t="str">
        <f>"_" &amp; AnalogueMeasure[[#This Row],[Obj]]</f>
        <v>_TT_00103_001</v>
      </c>
      <c r="G12" t="s">
        <v>0</v>
      </c>
      <c r="H12">
        <f t="shared" si="3"/>
        <v>10</v>
      </c>
      <c r="I12" t="s">
        <v>1585</v>
      </c>
      <c r="J12" t="s">
        <v>3367</v>
      </c>
      <c r="K12" t="str">
        <f>SUBSTITUTE(HMIPATH_AnalogueMeasure,"$",AnalogueMeasure[[#This Row],[ID]])</f>
        <v>ObjAnalogueMeasure.InOut[10]</v>
      </c>
      <c r="L12" t="str">
        <f>FAnalogueMeasure(AnalogueMeasure[[#This Row],[Obj]],AnalogueMeasure[[#This Row],[System]])</f>
        <v xml:space="preserve">#TT_00103_001(measure:="TT-00103-001",_x000D_
reset:=#Unit.AHU.Command.General_reset,
           Process:=#Unit.TT_00103_001,
           InOut:=SU01,
           Parameters:="SU01"."TT_00103_001".Parameters,
           Settings:="SU01"."TT_00103_001".Settings);
</v>
      </c>
      <c r="M12" t="str" cm="1">
        <f t="array" ref="M12">AnaMeasureAMS(AnalogueMeasure[[#This Row],[Tag]])</f>
        <v xml:space="preserve">"AlarmWarningAMS"(Base:=#Sensor.InOut[_TT_00103_001].Base,
                  ConfigAMS:=#Sensor.AMS[_TT_00103_001],
                  ResultAMS:=#Unit.AMS);
</v>
      </c>
    </row>
    <row r="13" spans="1:13" x14ac:dyDescent="0.3">
      <c r="A13" t="s">
        <v>142</v>
      </c>
      <c r="B13" t="s">
        <v>922</v>
      </c>
      <c r="C13" t="s">
        <v>1442</v>
      </c>
      <c r="D13" t="str" cm="1">
        <f t="array" ref="D13">GetSystemFromTag(AnalogueMeasure[[#This Row],[Obj]])</f>
        <v>HVAC_R00104</v>
      </c>
      <c r="E13" t="str">
        <f>SUBSTITUTE(AnalogueMeasure[[#This Row],[RealTag]],"-","_")</f>
        <v>TT_00104_001</v>
      </c>
      <c r="F13" t="str">
        <f>"_" &amp; AnalogueMeasure[[#This Row],[Obj]]</f>
        <v>_TT_00104_001</v>
      </c>
      <c r="G13" t="s">
        <v>0</v>
      </c>
      <c r="H13">
        <f>ROW()-2</f>
        <v>11</v>
      </c>
      <c r="I13" t="s">
        <v>1585</v>
      </c>
      <c r="J13" t="s">
        <v>3367</v>
      </c>
      <c r="K13" t="str">
        <f>SUBSTITUTE(HMIPATH_AnalogueMeasure,"$",AnalogueMeasure[[#This Row],[ID]])</f>
        <v>ObjAnalogueMeasure.InOut[11]</v>
      </c>
      <c r="L13" t="str">
        <f>FAnalogueMeasure(AnalogueMeasure[[#This Row],[Obj]],AnalogueMeasure[[#This Row],[System]])</f>
        <v xml:space="preserve">#TT_00104_001(measure:="TT-00104-001",_x000D_
reset:=#Unit.AHU.Command.General_reset,
           Process:=#Unit.TT_00104_001,
           InOut:=SU01,
           Parameters:="SU01"."TT_00104_001".Parameters,
           Settings:="SU01"."TT_00104_001".Settings);
</v>
      </c>
      <c r="M13" t="str" cm="1">
        <f t="array" ref="M13">AnaMeasureAMS(AnalogueMeasure[[#This Row],[Tag]])</f>
        <v xml:space="preserve">"AlarmWarningAMS"(Base:=#Sensor.InOut[_TT_00104_001].Base,
                  ConfigAMS:=#Sensor.AMS[_TT_00104_001],
                  ResultAMS:=#Unit.AMS);
</v>
      </c>
    </row>
    <row r="14" spans="1:13" x14ac:dyDescent="0.3">
      <c r="A14" t="s">
        <v>142</v>
      </c>
      <c r="B14" t="s">
        <v>923</v>
      </c>
      <c r="C14" t="s">
        <v>1442</v>
      </c>
      <c r="D14" t="str" cm="1">
        <f t="array" ref="D14">GetSystemFromTag(AnalogueMeasure[[#This Row],[Obj]])</f>
        <v>HVAC_R00106</v>
      </c>
      <c r="E14" t="str">
        <f>SUBSTITUTE(AnalogueMeasure[[#This Row],[RealTag]],"-","_")</f>
        <v>TT_00106_001</v>
      </c>
      <c r="F14" t="str">
        <f>"_" &amp; AnalogueMeasure[[#This Row],[Obj]]</f>
        <v>_TT_00106_001</v>
      </c>
      <c r="G14" t="s">
        <v>0</v>
      </c>
      <c r="H14">
        <f t="shared" ref="H14:H25" si="4">ROW()-2</f>
        <v>12</v>
      </c>
      <c r="I14" t="s">
        <v>1585</v>
      </c>
      <c r="J14" t="s">
        <v>3367</v>
      </c>
      <c r="K14" t="str">
        <f>SUBSTITUTE(HMIPATH_AnalogueMeasure,"$",AnalogueMeasure[[#This Row],[ID]])</f>
        <v>ObjAnalogueMeasure.InOut[12]</v>
      </c>
      <c r="L14" t="str">
        <f>FAnalogueMeasure(AnalogueMeasure[[#This Row],[Obj]],AnalogueMeasure[[#This Row],[System]])</f>
        <v xml:space="preserve">#TT_00106_001(measure:="TT-00106-001",_x000D_
reset:=#Unit.AHU.Command.General_reset,
           Process:=#Unit.TT_00106_001,
           InOut:=SU01,
           Parameters:="SU01"."TT_00106_001".Parameters,
           Settings:="SU01"."TT_00106_001".Settings);
</v>
      </c>
      <c r="M14" t="str" cm="1">
        <f t="array" ref="M14">AnaMeasureAMS(AnalogueMeasure[[#This Row],[Tag]])</f>
        <v xml:space="preserve">"AlarmWarningAMS"(Base:=#Sensor.InOut[_TT_00106_001].Base,
                  ConfigAMS:=#Sensor.AMS[_TT_00106_001],
                  ResultAMS:=#Unit.AMS);
</v>
      </c>
    </row>
    <row r="15" spans="1:13" x14ac:dyDescent="0.3">
      <c r="A15" t="s">
        <v>142</v>
      </c>
      <c r="B15" t="s">
        <v>925</v>
      </c>
      <c r="C15" t="s">
        <v>1442</v>
      </c>
      <c r="D15" t="str" cm="1">
        <f t="array" ref="D15">GetSystemFromTag(AnalogueMeasure[[#This Row],[Obj]])</f>
        <v>HVAC_R00106</v>
      </c>
      <c r="E15" t="str">
        <f>SUBSTITUTE(AnalogueMeasure[[#This Row],[RealTag]],"-","_")</f>
        <v>TT_00106_002</v>
      </c>
      <c r="F15" t="str">
        <f>"_" &amp; AnalogueMeasure[[#This Row],[Obj]]</f>
        <v>_TT_00106_002</v>
      </c>
      <c r="G15" t="s">
        <v>0</v>
      </c>
      <c r="H15">
        <f t="shared" si="4"/>
        <v>13</v>
      </c>
      <c r="I15" t="s">
        <v>1585</v>
      </c>
      <c r="J15" t="s">
        <v>3367</v>
      </c>
      <c r="K15" t="str">
        <f>SUBSTITUTE(HMIPATH_AnalogueMeasure,"$",AnalogueMeasure[[#This Row],[ID]])</f>
        <v>ObjAnalogueMeasure.InOut[13]</v>
      </c>
      <c r="L15" t="str">
        <f>FAnalogueMeasure(AnalogueMeasure[[#This Row],[Obj]],AnalogueMeasure[[#This Row],[System]])</f>
        <v xml:space="preserve">#TT_00106_002(measure:="TT-00106-002",_x000D_
reset:=#Unit.AHU.Command.General_reset,
           Process:=#Unit.TT_00106_002,
           InOut:=SU01,
           Parameters:="SU01"."TT_00106_002".Parameters,
           Settings:="SU01"."TT_00106_002".Settings);
</v>
      </c>
      <c r="M15" t="str" cm="1">
        <f t="array" ref="M15">AnaMeasureAMS(AnalogueMeasure[[#This Row],[Tag]])</f>
        <v xml:space="preserve">"AlarmWarningAMS"(Base:=#Sensor.InOut[_TT_00106_002].Base,
                  ConfigAMS:=#Sensor.AMS[_TT_00106_002],
                  ResultAMS:=#Unit.AMS);
</v>
      </c>
    </row>
    <row r="16" spans="1:13" x14ac:dyDescent="0.3">
      <c r="A16" t="s">
        <v>142</v>
      </c>
      <c r="B16" t="s">
        <v>926</v>
      </c>
      <c r="C16" t="s">
        <v>1442</v>
      </c>
      <c r="D16" t="str" cm="1">
        <f t="array" ref="D16">GetSystemFromTag(AnalogueMeasure[[#This Row],[Obj]])</f>
        <v>HVAC_R00107</v>
      </c>
      <c r="E16" t="str">
        <f>SUBSTITUTE(AnalogueMeasure[[#This Row],[RealTag]],"-","_")</f>
        <v>TT_00107_001</v>
      </c>
      <c r="F16" t="str">
        <f>"_" &amp; AnalogueMeasure[[#This Row],[Obj]]</f>
        <v>_TT_00107_001</v>
      </c>
      <c r="G16" t="s">
        <v>0</v>
      </c>
      <c r="H16">
        <f t="shared" si="4"/>
        <v>14</v>
      </c>
      <c r="I16" t="s">
        <v>1585</v>
      </c>
      <c r="J16" t="s">
        <v>3367</v>
      </c>
      <c r="K16" t="str">
        <f>SUBSTITUTE(HMIPATH_AnalogueMeasure,"$",AnalogueMeasure[[#This Row],[ID]])</f>
        <v>ObjAnalogueMeasure.InOut[14]</v>
      </c>
      <c r="L16" t="str">
        <f>FAnalogueMeasure(AnalogueMeasure[[#This Row],[Obj]],AnalogueMeasure[[#This Row],[System]])</f>
        <v xml:space="preserve">#TT_00107_001(measure:="TT-00107-001",_x000D_
reset:=#Unit.AHU.Command.General_reset,
           Process:=#Unit.TT_00107_001,
           InOut:=SU01,
           Parameters:="SU01"."TT_00107_001".Parameters,
           Settings:="SU01"."TT_00107_001".Settings);
</v>
      </c>
      <c r="M16" t="str" cm="1">
        <f t="array" ref="M16">AnaMeasureAMS(AnalogueMeasure[[#This Row],[Tag]])</f>
        <v xml:space="preserve">"AlarmWarningAMS"(Base:=#Sensor.InOut[_TT_00107_001].Base,
                  ConfigAMS:=#Sensor.AMS[_TT_00107_001],
                  ResultAMS:=#Unit.AMS);
</v>
      </c>
    </row>
    <row r="17" spans="1:13" x14ac:dyDescent="0.3">
      <c r="A17" t="s">
        <v>142</v>
      </c>
      <c r="B17" t="s">
        <v>927</v>
      </c>
      <c r="C17" t="s">
        <v>1442</v>
      </c>
      <c r="D17" t="str" cm="1">
        <f t="array" ref="D17">GetSystemFromTag(AnalogueMeasure[[#This Row],[Obj]])</f>
        <v>HVAC_R00107</v>
      </c>
      <c r="E17" t="str">
        <f>SUBSTITUTE(AnalogueMeasure[[#This Row],[RealTag]],"-","_")</f>
        <v>TT_00107_002</v>
      </c>
      <c r="F17" t="str">
        <f>"_" &amp; AnalogueMeasure[[#This Row],[Obj]]</f>
        <v>_TT_00107_002</v>
      </c>
      <c r="G17" t="s">
        <v>0</v>
      </c>
      <c r="H17">
        <f t="shared" si="4"/>
        <v>15</v>
      </c>
      <c r="I17" t="s">
        <v>1585</v>
      </c>
      <c r="J17" t="s">
        <v>3367</v>
      </c>
      <c r="K17" t="str">
        <f>SUBSTITUTE(HMIPATH_AnalogueMeasure,"$",AnalogueMeasure[[#This Row],[ID]])</f>
        <v>ObjAnalogueMeasure.InOut[15]</v>
      </c>
      <c r="L17" t="str">
        <f>FAnalogueMeasure(AnalogueMeasure[[#This Row],[Obj]],AnalogueMeasure[[#This Row],[System]])</f>
        <v xml:space="preserve">#TT_00107_002(measure:="TT-00107-002",_x000D_
reset:=#Unit.AHU.Command.General_reset,
           Process:=#Unit.TT_00107_002,
           InOut:=SU01,
           Parameters:="SU01"."TT_00107_002".Parameters,
           Settings:="SU01"."TT_00107_002".Settings);
</v>
      </c>
      <c r="M17" t="str" cm="1">
        <f t="array" ref="M17">AnaMeasureAMS(AnalogueMeasure[[#This Row],[Tag]])</f>
        <v xml:space="preserve">"AlarmWarningAMS"(Base:=#Sensor.InOut[_TT_00107_002].Base,
                  ConfigAMS:=#Sensor.AMS[_TT_00107_002],
                  ResultAMS:=#Unit.AMS);
</v>
      </c>
    </row>
    <row r="18" spans="1:13" x14ac:dyDescent="0.3">
      <c r="A18" t="s">
        <v>142</v>
      </c>
      <c r="B18" t="s">
        <v>928</v>
      </c>
      <c r="C18" t="s">
        <v>1442</v>
      </c>
      <c r="D18" t="str" cm="1">
        <f t="array" ref="D18">GetSystemFromTag(AnalogueMeasure[[#This Row],[Obj]])</f>
        <v>HVAC_R00108</v>
      </c>
      <c r="E18" t="str">
        <f>SUBSTITUTE(AnalogueMeasure[[#This Row],[RealTag]],"-","_")</f>
        <v>TT_00108_001</v>
      </c>
      <c r="F18" t="str">
        <f>"_" &amp; AnalogueMeasure[[#This Row],[Obj]]</f>
        <v>_TT_00108_001</v>
      </c>
      <c r="G18" t="s">
        <v>0</v>
      </c>
      <c r="H18">
        <f t="shared" si="4"/>
        <v>16</v>
      </c>
      <c r="I18" t="s">
        <v>1585</v>
      </c>
      <c r="J18" t="s">
        <v>3367</v>
      </c>
      <c r="K18" t="str">
        <f>SUBSTITUTE(HMIPATH_AnalogueMeasure,"$",AnalogueMeasure[[#This Row],[ID]])</f>
        <v>ObjAnalogueMeasure.InOut[16]</v>
      </c>
      <c r="L18" t="str">
        <f>FAnalogueMeasure(AnalogueMeasure[[#This Row],[Obj]],AnalogueMeasure[[#This Row],[System]])</f>
        <v xml:space="preserve">#TT_00108_001(measure:="TT-00108-001",_x000D_
reset:=#Unit.AHU.Command.General_reset,
           Process:=#Unit.TT_00108_001,
           InOut:=SU01,
           Parameters:="SU01"."TT_00108_001".Parameters,
           Settings:="SU01"."TT_00108_001".Settings);
</v>
      </c>
      <c r="M18" t="str" cm="1">
        <f t="array" ref="M18">AnaMeasureAMS(AnalogueMeasure[[#This Row],[Tag]])</f>
        <v xml:space="preserve">"AlarmWarningAMS"(Base:=#Sensor.InOut[_TT_00108_001].Base,
                  ConfigAMS:=#Sensor.AMS[_TT_00108_001],
                  ResultAMS:=#Unit.AMS);
</v>
      </c>
    </row>
    <row r="19" spans="1:13" x14ac:dyDescent="0.3">
      <c r="A19" t="s">
        <v>142</v>
      </c>
      <c r="B19" t="s">
        <v>929</v>
      </c>
      <c r="C19" t="s">
        <v>1442</v>
      </c>
      <c r="D19" t="str" cm="1">
        <f t="array" ref="D19">GetSystemFromTag(AnalogueMeasure[[#This Row],[Obj]])</f>
        <v>HVAC_R00108</v>
      </c>
      <c r="E19" t="str">
        <f>SUBSTITUTE(AnalogueMeasure[[#This Row],[RealTag]],"-","_")</f>
        <v>TT_00108_002</v>
      </c>
      <c r="F19" t="str">
        <f>"_" &amp; AnalogueMeasure[[#This Row],[Obj]]</f>
        <v>_TT_00108_002</v>
      </c>
      <c r="G19" t="s">
        <v>0</v>
      </c>
      <c r="H19">
        <f t="shared" si="4"/>
        <v>17</v>
      </c>
      <c r="I19" t="s">
        <v>1585</v>
      </c>
      <c r="J19" t="s">
        <v>3367</v>
      </c>
      <c r="K19" t="str">
        <f>SUBSTITUTE(HMIPATH_AnalogueMeasure,"$",AnalogueMeasure[[#This Row],[ID]])</f>
        <v>ObjAnalogueMeasure.InOut[17]</v>
      </c>
      <c r="L19" t="str">
        <f>FAnalogueMeasure(AnalogueMeasure[[#This Row],[Obj]],AnalogueMeasure[[#This Row],[System]])</f>
        <v xml:space="preserve">#TT_00108_002(measure:="TT-00108-002",_x000D_
reset:=#Unit.AHU.Command.General_reset,
           Process:=#Unit.TT_00108_002,
           InOut:=SU01,
           Parameters:="SU01"."TT_00108_002".Parameters,
           Settings:="SU01"."TT_00108_002".Settings);
</v>
      </c>
      <c r="M19" t="str" cm="1">
        <f t="array" ref="M19">AnaMeasureAMS(AnalogueMeasure[[#This Row],[Tag]])</f>
        <v xml:space="preserve">"AlarmWarningAMS"(Base:=#Sensor.InOut[_TT_00108_002].Base,
                  ConfigAMS:=#Sensor.AMS[_TT_00108_002],
                  ResultAMS:=#Unit.AMS);
</v>
      </c>
    </row>
    <row r="20" spans="1:13" x14ac:dyDescent="0.3">
      <c r="A20" t="s">
        <v>142</v>
      </c>
      <c r="B20" t="s">
        <v>930</v>
      </c>
      <c r="C20" t="s">
        <v>1442</v>
      </c>
      <c r="D20" t="str" cm="1">
        <f t="array" ref="D20">GetSystemFromTag(AnalogueMeasure[[#This Row],[Obj]])</f>
        <v>HVAC_R00109</v>
      </c>
      <c r="E20" t="str">
        <f>SUBSTITUTE(AnalogueMeasure[[#This Row],[RealTag]],"-","_")</f>
        <v>TT_00109_001</v>
      </c>
      <c r="F20" t="str">
        <f>"_" &amp; AnalogueMeasure[[#This Row],[Obj]]</f>
        <v>_TT_00109_001</v>
      </c>
      <c r="G20" t="s">
        <v>0</v>
      </c>
      <c r="H20">
        <f t="shared" si="4"/>
        <v>18</v>
      </c>
      <c r="I20" t="s">
        <v>1585</v>
      </c>
      <c r="J20" t="s">
        <v>3367</v>
      </c>
      <c r="K20" t="str">
        <f>SUBSTITUTE(HMIPATH_AnalogueMeasure,"$",AnalogueMeasure[[#This Row],[ID]])</f>
        <v>ObjAnalogueMeasure.InOut[18]</v>
      </c>
      <c r="L20" t="str">
        <f>FAnalogueMeasure(AnalogueMeasure[[#This Row],[Obj]],AnalogueMeasure[[#This Row],[System]])</f>
        <v xml:space="preserve">#TT_00109_001(measure:="TT-00109-001",_x000D_
reset:=#Unit.AHU.Command.General_reset,
           Process:=#Unit.TT_00109_001,
           InOut:=SU01,
           Parameters:="SU01"."TT_00109_001".Parameters,
           Settings:="SU01"."TT_00109_001".Settings);
</v>
      </c>
      <c r="M20" t="str" cm="1">
        <f t="array" ref="M20">AnaMeasureAMS(AnalogueMeasure[[#This Row],[Tag]])</f>
        <v xml:space="preserve">"AlarmWarningAMS"(Base:=#Sensor.InOut[_TT_00109_001].Base,
                  ConfigAMS:=#Sensor.AMS[_TT_00109_001],
                  ResultAMS:=#Unit.AMS);
</v>
      </c>
    </row>
    <row r="21" spans="1:13" x14ac:dyDescent="0.3">
      <c r="A21" t="s">
        <v>142</v>
      </c>
      <c r="B21" t="s">
        <v>931</v>
      </c>
      <c r="C21" t="s">
        <v>1442</v>
      </c>
      <c r="D21" t="str" cm="1">
        <f t="array" ref="D21">GetSystemFromTag(AnalogueMeasure[[#This Row],[Obj]])</f>
        <v>HVAC_R00109</v>
      </c>
      <c r="E21" t="str">
        <f>SUBSTITUTE(AnalogueMeasure[[#This Row],[RealTag]],"-","_")</f>
        <v>TT_00109_002</v>
      </c>
      <c r="F21" t="str">
        <f>"_" &amp; AnalogueMeasure[[#This Row],[Obj]]</f>
        <v>_TT_00109_002</v>
      </c>
      <c r="G21" t="s">
        <v>0</v>
      </c>
      <c r="H21">
        <f t="shared" si="4"/>
        <v>19</v>
      </c>
      <c r="I21" t="s">
        <v>1585</v>
      </c>
      <c r="J21" t="s">
        <v>3367</v>
      </c>
      <c r="K21" t="str">
        <f>SUBSTITUTE(HMIPATH_AnalogueMeasure,"$",AnalogueMeasure[[#This Row],[ID]])</f>
        <v>ObjAnalogueMeasure.InOut[19]</v>
      </c>
      <c r="L21" t="str">
        <f>FAnalogueMeasure(AnalogueMeasure[[#This Row],[Obj]],AnalogueMeasure[[#This Row],[System]])</f>
        <v xml:space="preserve">#TT_00109_002(measure:="TT-00109-002",_x000D_
reset:=#Unit.AHU.Command.General_reset,
           Process:=#Unit.TT_00109_002,
           InOut:=SU01,
           Parameters:="SU01"."TT_00109_002".Parameters,
           Settings:="SU01"."TT_00109_002".Settings);
</v>
      </c>
      <c r="M21" t="str" cm="1">
        <f t="array" ref="M21">AnaMeasureAMS(AnalogueMeasure[[#This Row],[Tag]])</f>
        <v xml:space="preserve">"AlarmWarningAMS"(Base:=#Sensor.InOut[_TT_00109_002].Base,
                  ConfigAMS:=#Sensor.AMS[_TT_00109_002],
                  ResultAMS:=#Unit.AMS);
</v>
      </c>
    </row>
    <row r="22" spans="1:13" x14ac:dyDescent="0.3">
      <c r="A22" t="s">
        <v>142</v>
      </c>
      <c r="B22" t="s">
        <v>932</v>
      </c>
      <c r="C22" t="s">
        <v>1442</v>
      </c>
      <c r="D22" t="str" cm="1">
        <f t="array" ref="D22">GetSystemFromTag(AnalogueMeasure[[#This Row],[Obj]])</f>
        <v>HVAC_R00110</v>
      </c>
      <c r="E22" t="str">
        <f>SUBSTITUTE(AnalogueMeasure[[#This Row],[RealTag]],"-","_")</f>
        <v>TT_00110_001</v>
      </c>
      <c r="F22" t="str">
        <f>"_" &amp; AnalogueMeasure[[#This Row],[Obj]]</f>
        <v>_TT_00110_001</v>
      </c>
      <c r="G22" t="s">
        <v>0</v>
      </c>
      <c r="H22">
        <f t="shared" si="4"/>
        <v>20</v>
      </c>
      <c r="I22" t="s">
        <v>1585</v>
      </c>
      <c r="J22" t="s">
        <v>3367</v>
      </c>
      <c r="K22" t="str">
        <f>SUBSTITUTE(HMIPATH_AnalogueMeasure,"$",AnalogueMeasure[[#This Row],[ID]])</f>
        <v>ObjAnalogueMeasure.InOut[20]</v>
      </c>
      <c r="L22" t="str">
        <f>FAnalogueMeasure(AnalogueMeasure[[#This Row],[Obj]],AnalogueMeasure[[#This Row],[System]])</f>
        <v xml:space="preserve">#TT_00110_001(measure:="TT-00110-001",_x000D_
reset:=#Unit.AHU.Command.General_reset,
           Process:=#Unit.TT_00110_001,
           InOut:=SU01,
           Parameters:="SU01"."TT_00110_001".Parameters,
           Settings:="SU01"."TT_00110_001".Settings);
</v>
      </c>
      <c r="M22" t="str" cm="1">
        <f t="array" ref="M22">AnaMeasureAMS(AnalogueMeasure[[#This Row],[Tag]])</f>
        <v xml:space="preserve">"AlarmWarningAMS"(Base:=#Sensor.InOut[_TT_00110_001].Base,
                  ConfigAMS:=#Sensor.AMS[_TT_00110_001],
                  ResultAMS:=#Unit.AMS);
</v>
      </c>
    </row>
    <row r="23" spans="1:13" x14ac:dyDescent="0.3">
      <c r="A23" t="s">
        <v>142</v>
      </c>
      <c r="B23" t="s">
        <v>933</v>
      </c>
      <c r="C23" t="s">
        <v>1442</v>
      </c>
      <c r="D23" t="str" cm="1">
        <f t="array" ref="D23">GetSystemFromTag(AnalogueMeasure[[#This Row],[Obj]])</f>
        <v>HVAC_R00110</v>
      </c>
      <c r="E23" t="str">
        <f>SUBSTITUTE(AnalogueMeasure[[#This Row],[RealTag]],"-","_")</f>
        <v>TT_00110_002</v>
      </c>
      <c r="F23" t="str">
        <f>"_" &amp; AnalogueMeasure[[#This Row],[Obj]]</f>
        <v>_TT_00110_002</v>
      </c>
      <c r="G23" t="s">
        <v>0</v>
      </c>
      <c r="H23">
        <f t="shared" si="4"/>
        <v>21</v>
      </c>
      <c r="I23" t="s">
        <v>1585</v>
      </c>
      <c r="J23" t="s">
        <v>3367</v>
      </c>
      <c r="K23" t="str">
        <f>SUBSTITUTE(HMIPATH_AnalogueMeasure,"$",AnalogueMeasure[[#This Row],[ID]])</f>
        <v>ObjAnalogueMeasure.InOut[21]</v>
      </c>
      <c r="L23" t="str">
        <f>FAnalogueMeasure(AnalogueMeasure[[#This Row],[Obj]],AnalogueMeasure[[#This Row],[System]])</f>
        <v xml:space="preserve">#TT_00110_002(measure:="TT-00110-002",_x000D_
reset:=#Unit.AHU.Command.General_reset,
           Process:=#Unit.TT_00110_002,
           InOut:=SU01,
           Parameters:="SU01"."TT_00110_002".Parameters,
           Settings:="SU01"."TT_00110_002".Settings);
</v>
      </c>
      <c r="M23" t="str" cm="1">
        <f t="array" ref="M23">AnaMeasureAMS(AnalogueMeasure[[#This Row],[Tag]])</f>
        <v xml:space="preserve">"AlarmWarningAMS"(Base:=#Sensor.InOut[_TT_00110_002].Base,
                  ConfigAMS:=#Sensor.AMS[_TT_00110_002],
                  ResultAMS:=#Unit.AMS);
</v>
      </c>
    </row>
    <row r="24" spans="1:13" x14ac:dyDescent="0.3">
      <c r="A24" t="s">
        <v>142</v>
      </c>
      <c r="B24" t="s">
        <v>934</v>
      </c>
      <c r="C24" t="s">
        <v>1442</v>
      </c>
      <c r="D24" t="str" cm="1">
        <f t="array" ref="D24">GetSystemFromTag(AnalogueMeasure[[#This Row],[Obj]])</f>
        <v>HVAC_R00111</v>
      </c>
      <c r="E24" t="str">
        <f>SUBSTITUTE(AnalogueMeasure[[#This Row],[RealTag]],"-","_")</f>
        <v>TT_00111_001</v>
      </c>
      <c r="F24" t="str">
        <f>"_" &amp; AnalogueMeasure[[#This Row],[Obj]]</f>
        <v>_TT_00111_001</v>
      </c>
      <c r="G24" t="s">
        <v>0</v>
      </c>
      <c r="H24">
        <f t="shared" si="4"/>
        <v>22</v>
      </c>
      <c r="I24" t="s">
        <v>1585</v>
      </c>
      <c r="J24" t="s">
        <v>3367</v>
      </c>
      <c r="K24" t="str">
        <f>SUBSTITUTE(HMIPATH_AnalogueMeasure,"$",AnalogueMeasure[[#This Row],[ID]])</f>
        <v>ObjAnalogueMeasure.InOut[22]</v>
      </c>
      <c r="L24" t="str">
        <f>FAnalogueMeasure(AnalogueMeasure[[#This Row],[Obj]],AnalogueMeasure[[#This Row],[System]])</f>
        <v xml:space="preserve">#TT_00111_001(measure:="TT-00111-001",_x000D_
reset:=#Unit.AHU.Command.General_reset,
           Process:=#Unit.TT_00111_001,
           InOut:=SU01,
           Parameters:="SU01"."TT_00111_001".Parameters,
           Settings:="SU01"."TT_00111_001".Settings);
</v>
      </c>
      <c r="M24" t="str" cm="1">
        <f t="array" ref="M24">AnaMeasureAMS(AnalogueMeasure[[#This Row],[Tag]])</f>
        <v xml:space="preserve">"AlarmWarningAMS"(Base:=#Sensor.InOut[_TT_00111_001].Base,
                  ConfigAMS:=#Sensor.AMS[_TT_00111_001],
                  ResultAMS:=#Unit.AMS);
</v>
      </c>
    </row>
    <row r="25" spans="1:13" x14ac:dyDescent="0.3">
      <c r="A25" t="s">
        <v>142</v>
      </c>
      <c r="B25" t="s">
        <v>935</v>
      </c>
      <c r="C25" t="s">
        <v>1442</v>
      </c>
      <c r="D25" t="str" cm="1">
        <f t="array" ref="D25">GetSystemFromTag(AnalogueMeasure[[#This Row],[Obj]])</f>
        <v>HVAC_R00115</v>
      </c>
      <c r="E25" t="str">
        <f>SUBSTITUTE(AnalogueMeasure[[#This Row],[RealTag]],"-","_")</f>
        <v>TT_00115_001</v>
      </c>
      <c r="F25" t="str">
        <f>"_" &amp; AnalogueMeasure[[#This Row],[Obj]]</f>
        <v>_TT_00115_001</v>
      </c>
      <c r="G25" t="s">
        <v>0</v>
      </c>
      <c r="H25">
        <f t="shared" si="4"/>
        <v>23</v>
      </c>
      <c r="I25" t="s">
        <v>1585</v>
      </c>
      <c r="J25" t="s">
        <v>3367</v>
      </c>
      <c r="K25" t="str">
        <f>SUBSTITUTE(HMIPATH_AnalogueMeasure,"$",AnalogueMeasure[[#This Row],[ID]])</f>
        <v>ObjAnalogueMeasure.InOut[23]</v>
      </c>
      <c r="L25" t="str">
        <f>FAnalogueMeasure(AnalogueMeasure[[#This Row],[Obj]],AnalogueMeasure[[#This Row],[System]])</f>
        <v xml:space="preserve">#TT_00115_001(measure:="TT-00115-001",_x000D_
reset:=#Unit.AHU.Command.General_reset,
           Process:=#Unit.TT_00115_001,
           InOut:=SU01,
           Parameters:="SU01"."TT_00115_001".Parameters,
           Settings:="SU01"."TT_00115_001".Settings);
</v>
      </c>
      <c r="M25" t="str" cm="1">
        <f t="array" ref="M25">AnaMeasureAMS(AnalogueMeasure[[#This Row],[Tag]])</f>
        <v xml:space="preserve">"AlarmWarningAMS"(Base:=#Sensor.InOut[_TT_00115_001].Base,
                  ConfigAMS:=#Sensor.AMS[_TT_00115_001],
                  ResultAMS:=#Unit.AMS);
</v>
      </c>
    </row>
    <row r="26" spans="1:13" x14ac:dyDescent="0.3">
      <c r="A26" t="s">
        <v>142</v>
      </c>
      <c r="B26" t="s">
        <v>1455</v>
      </c>
      <c r="C26" t="s">
        <v>1442</v>
      </c>
      <c r="D26" t="str" cm="1">
        <f t="array" ref="D26">GetSystemFromTag(AnalogueMeasure[[#This Row],[Obj]])</f>
        <v>HVAC_SU01</v>
      </c>
      <c r="E26" t="str">
        <f>SUBSTITUTE(AnalogueMeasure[[#This Row],[RealTag]],"-","_")</f>
        <v>PT_SF1_SU01_001</v>
      </c>
      <c r="F26" t="str">
        <f>"_" &amp; AnalogueMeasure[[#This Row],[Obj]]</f>
        <v>_PT_SF1_SU01_001</v>
      </c>
      <c r="G26" t="s">
        <v>0</v>
      </c>
      <c r="H26">
        <f t="shared" ref="H26:H53" si="5">ROW()-2</f>
        <v>24</v>
      </c>
      <c r="I26" t="s">
        <v>1585</v>
      </c>
      <c r="J26" t="s">
        <v>3367</v>
      </c>
      <c r="K26" t="str">
        <f>SUBSTITUTE(HMIPATH_AnalogueMeasure,"$",AnalogueMeasure[[#This Row],[ID]])</f>
        <v>ObjAnalogueMeasure.InOut[24]</v>
      </c>
      <c r="L26" t="str">
        <f>FAnalogueMeasure(AnalogueMeasure[[#This Row],[Obj]],AnalogueMeasure[[#This Row],[System]])</f>
        <v xml:space="preserve">#PT_SF1_SU01_001(measure:="PT-SF1-SU01-001",_x000D_
reset:=#Unit.AHU.Command.General_reset,
           Process:=#Unit.PT_SF1_SU01_001,
           InOut:=SU01,
           Parameters:="SU01"."PT_SF1_SU01_001".Parameters,
           Settings:="SU01"."PT_SF1_SU01_001".Settings);
</v>
      </c>
      <c r="M26" t="str" cm="1">
        <f t="array" ref="M26">AnaMeasureAMS(AnalogueMeasure[[#This Row],[Tag]])</f>
        <v xml:space="preserve">"AlarmWarningAMS"(Base:=#Sensor.InOut[_PT_SF1_SU01_001].Base,
                  ConfigAMS:=#Sensor.AMS[_PT_SF1_SU01_001],
                  ResultAMS:=#Unit.AMS);
</v>
      </c>
    </row>
    <row r="27" spans="1:13" x14ac:dyDescent="0.3">
      <c r="A27" t="s">
        <v>142</v>
      </c>
      <c r="B27" t="s">
        <v>1456</v>
      </c>
      <c r="C27" t="s">
        <v>1442</v>
      </c>
      <c r="D27" t="str" cm="1">
        <f t="array" ref="D27">GetSystemFromTag(AnalogueMeasure[[#This Row],[Obj]])</f>
        <v>HVAC_SU01</v>
      </c>
      <c r="E27" t="str">
        <f>SUBSTITUTE(AnalogueMeasure[[#This Row],[RealTag]],"-","_")</f>
        <v>PT_SF2_SU01_001</v>
      </c>
      <c r="F27" t="str">
        <f>"_" &amp; AnalogueMeasure[[#This Row],[Obj]]</f>
        <v>_PT_SF2_SU01_001</v>
      </c>
      <c r="G27" t="s">
        <v>0</v>
      </c>
      <c r="H27">
        <f t="shared" si="5"/>
        <v>25</v>
      </c>
      <c r="I27" t="s">
        <v>1585</v>
      </c>
      <c r="J27" t="s">
        <v>3367</v>
      </c>
      <c r="K27" t="str">
        <f>SUBSTITUTE(HMIPATH_AnalogueMeasure,"$",AnalogueMeasure[[#This Row],[ID]])</f>
        <v>ObjAnalogueMeasure.InOut[25]</v>
      </c>
      <c r="L27" t="str">
        <f>FAnalogueMeasure(AnalogueMeasure[[#This Row],[Obj]],AnalogueMeasure[[#This Row],[System]])</f>
        <v xml:space="preserve">#PT_SF2_SU01_001(measure:="PT-SF2-SU01-001",_x000D_
reset:=#Unit.AHU.Command.General_reset,
           Process:=#Unit.PT_SF2_SU01_001,
           InOut:=SU01,
           Parameters:="SU01"."PT_SF2_SU01_001".Parameters,
           Settings:="SU01"."PT_SF2_SU01_001".Settings);
</v>
      </c>
      <c r="M27" t="str" cm="1">
        <f t="array" ref="M27">AnaMeasureAMS(AnalogueMeasure[[#This Row],[Tag]])</f>
        <v xml:space="preserve">"AlarmWarningAMS"(Base:=#Sensor.InOut[_PT_SF2_SU01_001].Base,
                  ConfigAMS:=#Sensor.AMS[_PT_SF2_SU01_001],
                  ResultAMS:=#Unit.AMS);
</v>
      </c>
    </row>
    <row r="28" spans="1:13" x14ac:dyDescent="0.3">
      <c r="A28" t="s">
        <v>142</v>
      </c>
      <c r="B28" t="s">
        <v>1457</v>
      </c>
      <c r="C28" t="s">
        <v>1442</v>
      </c>
      <c r="D28" t="str" cm="1">
        <f t="array" ref="D28">GetSystemFromTag(AnalogueMeasure[[#This Row],[Obj]])</f>
        <v>HVAC_SU01</v>
      </c>
      <c r="E28" t="str">
        <f>SUBSTITUTE(AnalogueMeasure[[#This Row],[RealTag]],"-","_")</f>
        <v>PT_SU01_001</v>
      </c>
      <c r="F28" t="str">
        <f>"_" &amp; AnalogueMeasure[[#This Row],[Obj]]</f>
        <v>_PT_SU01_001</v>
      </c>
      <c r="G28" t="s">
        <v>0</v>
      </c>
      <c r="H28">
        <f t="shared" si="5"/>
        <v>26</v>
      </c>
      <c r="I28" t="s">
        <v>1585</v>
      </c>
      <c r="J28" t="s">
        <v>3367</v>
      </c>
      <c r="K28" t="str">
        <f>SUBSTITUTE(HMIPATH_AnalogueMeasure,"$",AnalogueMeasure[[#This Row],[ID]])</f>
        <v>ObjAnalogueMeasure.InOut[26]</v>
      </c>
      <c r="L28" t="str">
        <f>FAnalogueMeasure(AnalogueMeasure[[#This Row],[Obj]],AnalogueMeasure[[#This Row],[System]])</f>
        <v xml:space="preserve">#PT_SU01_001(measure:="PT-SU01-001",_x000D_
reset:=#Unit.AHU.Command.General_reset,
           Process:=#Unit.PT_SU01_001,
           InOut:=SU01,
           Parameters:="SU01"."PT_SU01_001".Parameters,
           Settings:="SU01"."PT_SU01_001".Settings);
</v>
      </c>
      <c r="M28" t="str" cm="1">
        <f t="array" ref="M28">AnaMeasureAMS(AnalogueMeasure[[#This Row],[Tag]])</f>
        <v xml:space="preserve">"AlarmWarningAMS"(Base:=#Sensor.InOut[_PT_SU01_001].Base,
                  ConfigAMS:=#Sensor.AMS[_PT_SU01_001],
                  ResultAMS:=#Unit.AMS);
</v>
      </c>
    </row>
    <row r="29" spans="1:13" x14ac:dyDescent="0.3">
      <c r="A29" t="s">
        <v>142</v>
      </c>
      <c r="B29" t="s">
        <v>1458</v>
      </c>
      <c r="C29" t="s">
        <v>1442</v>
      </c>
      <c r="D29" t="str" cm="1">
        <f t="array" ref="D29">GetSystemFromTag(AnalogueMeasure[[#This Row],[Obj]])</f>
        <v>HVAC_SU01</v>
      </c>
      <c r="E29" t="str">
        <f>SUBSTITUTE(AnalogueMeasure[[#This Row],[RealTag]],"-","_")</f>
        <v>PT_SU01_002</v>
      </c>
      <c r="F29" t="str">
        <f>"_" &amp; AnalogueMeasure[[#This Row],[Obj]]</f>
        <v>_PT_SU01_002</v>
      </c>
      <c r="G29" t="s">
        <v>0</v>
      </c>
      <c r="H29">
        <f t="shared" si="5"/>
        <v>27</v>
      </c>
      <c r="I29" t="s">
        <v>1585</v>
      </c>
      <c r="J29" t="s">
        <v>3367</v>
      </c>
      <c r="K29" t="str">
        <f>SUBSTITUTE(HMIPATH_AnalogueMeasure,"$",AnalogueMeasure[[#This Row],[ID]])</f>
        <v>ObjAnalogueMeasure.InOut[27]</v>
      </c>
      <c r="L29" t="str">
        <f>FAnalogueMeasure(AnalogueMeasure[[#This Row],[Obj]],AnalogueMeasure[[#This Row],[System]])</f>
        <v xml:space="preserve">#PT_SU01_002(measure:="PT-SU01-002",_x000D_
reset:=#Unit.AHU.Command.General_reset,
           Process:=#Unit.PT_SU01_002,
           InOut:=SU01,
           Parameters:="SU01"."PT_SU01_002".Parameters,
           Settings:="SU01"."PT_SU01_002".Settings);
</v>
      </c>
      <c r="M29" t="str" cm="1">
        <f t="array" ref="M29">AnaMeasureAMS(AnalogueMeasure[[#This Row],[Tag]])</f>
        <v xml:space="preserve">"AlarmWarningAMS"(Base:=#Sensor.InOut[_PT_SU01_002].Base,
                  ConfigAMS:=#Sensor.AMS[_PT_SU01_002],
                  ResultAMS:=#Unit.AMS);
</v>
      </c>
    </row>
    <row r="30" spans="1:13" x14ac:dyDescent="0.3">
      <c r="A30" t="s">
        <v>142</v>
      </c>
      <c r="B30" t="s">
        <v>1459</v>
      </c>
      <c r="C30" t="s">
        <v>1442</v>
      </c>
      <c r="D30" t="str" cm="1">
        <f t="array" ref="D30">GetSystemFromTag(AnalogueMeasure[[#This Row],[Obj]])</f>
        <v>HVAC_SU01</v>
      </c>
      <c r="E30" t="str">
        <f>SUBSTITUTE(AnalogueMeasure[[#This Row],[RealTag]],"-","_")</f>
        <v>PT_EF1_SU01_001</v>
      </c>
      <c r="F30" t="str">
        <f>"_" &amp; AnalogueMeasure[[#This Row],[Obj]]</f>
        <v>_PT_EF1_SU01_001</v>
      </c>
      <c r="G30" t="s">
        <v>0</v>
      </c>
      <c r="H30">
        <f t="shared" si="5"/>
        <v>28</v>
      </c>
      <c r="I30" t="s">
        <v>1585</v>
      </c>
      <c r="J30" t="s">
        <v>3367</v>
      </c>
      <c r="K30" t="str">
        <f>SUBSTITUTE(HMIPATH_AnalogueMeasure,"$",AnalogueMeasure[[#This Row],[ID]])</f>
        <v>ObjAnalogueMeasure.InOut[28]</v>
      </c>
      <c r="L30" t="str">
        <f>FAnalogueMeasure(AnalogueMeasure[[#This Row],[Obj]],AnalogueMeasure[[#This Row],[System]])</f>
        <v xml:space="preserve">#PT_EF1_SU01_001(measure:="PT-EF1-SU01-001",_x000D_
reset:=#Unit.AHU.Command.General_reset,
           Process:=#Unit.PT_EF1_SU01_001,
           InOut:=SU01,
           Parameters:="SU01"."PT_EF1_SU01_001".Parameters,
           Settings:="SU01"."PT_EF1_SU01_001".Settings);
</v>
      </c>
      <c r="M30" t="str" cm="1">
        <f t="array" ref="M30">AnaMeasureAMS(AnalogueMeasure[[#This Row],[Tag]])</f>
        <v xml:space="preserve">"AlarmWarningAMS"(Base:=#Sensor.InOut[_PT_EF1_SU01_001].Base,
                  ConfigAMS:=#Sensor.AMS[_PT_EF1_SU01_001],
                  ResultAMS:=#Unit.AMS);
</v>
      </c>
    </row>
    <row r="31" spans="1:13" x14ac:dyDescent="0.3">
      <c r="A31" t="s">
        <v>142</v>
      </c>
      <c r="B31" t="s">
        <v>1460</v>
      </c>
      <c r="C31" t="s">
        <v>1442</v>
      </c>
      <c r="D31" t="str" cm="1">
        <f t="array" ref="D31">GetSystemFromTag(AnalogueMeasure[[#This Row],[Obj]])</f>
        <v>HVAC_SU01</v>
      </c>
      <c r="E31" t="str">
        <f>SUBSTITUTE(AnalogueMeasure[[#This Row],[RealTag]],"-","_")</f>
        <v>PT_EF2_SU01_001</v>
      </c>
      <c r="F31" t="str">
        <f>"_" &amp; AnalogueMeasure[[#This Row],[Obj]]</f>
        <v>_PT_EF2_SU01_001</v>
      </c>
      <c r="G31" t="s">
        <v>0</v>
      </c>
      <c r="H31">
        <f t="shared" si="5"/>
        <v>29</v>
      </c>
      <c r="I31" t="s">
        <v>1585</v>
      </c>
      <c r="J31" t="s">
        <v>3367</v>
      </c>
      <c r="K31" t="str">
        <f>SUBSTITUTE(HMIPATH_AnalogueMeasure,"$",AnalogueMeasure[[#This Row],[ID]])</f>
        <v>ObjAnalogueMeasure.InOut[29]</v>
      </c>
      <c r="L31" t="str">
        <f>FAnalogueMeasure(AnalogueMeasure[[#This Row],[Obj]],AnalogueMeasure[[#This Row],[System]])</f>
        <v xml:space="preserve">#PT_EF2_SU01_001(measure:="PT-EF2-SU01-001",_x000D_
reset:=#Unit.AHU.Command.General_reset,
           Process:=#Unit.PT_EF2_SU01_001,
           InOut:=SU01,
           Parameters:="SU01"."PT_EF2_SU01_001".Parameters,
           Settings:="SU01"."PT_EF2_SU01_001".Settings);
</v>
      </c>
      <c r="M31" t="str" cm="1">
        <f t="array" ref="M31">AnaMeasureAMS(AnalogueMeasure[[#This Row],[Tag]])</f>
        <v xml:space="preserve">"AlarmWarningAMS"(Base:=#Sensor.InOut[_PT_EF2_SU01_001].Base,
                  ConfigAMS:=#Sensor.AMS[_PT_EF2_SU01_001],
                  ResultAMS:=#Unit.AMS);
</v>
      </c>
    </row>
    <row r="32" spans="1:13" x14ac:dyDescent="0.3">
      <c r="A32" t="s">
        <v>142</v>
      </c>
      <c r="B32" t="s">
        <v>1461</v>
      </c>
      <c r="C32" t="s">
        <v>1443</v>
      </c>
      <c r="D32" t="str" cm="1">
        <f t="array" ref="D32">GetSystemFromTag(AnalogueMeasure[[#This Row],[Obj]])</f>
        <v>HVAC_SU01B</v>
      </c>
      <c r="E32" t="str">
        <f>SUBSTITUTE(AnalogueMeasure[[#This Row],[RealTag]],"-","_")</f>
        <v>PT_SF1_SU01B_001</v>
      </c>
      <c r="F32" t="str">
        <f>"_" &amp; AnalogueMeasure[[#This Row],[Obj]]</f>
        <v>_PT_SF1_SU01B_001</v>
      </c>
      <c r="G32" t="s">
        <v>0</v>
      </c>
      <c r="H32">
        <f t="shared" si="5"/>
        <v>30</v>
      </c>
      <c r="I32" t="s">
        <v>1585</v>
      </c>
      <c r="J32" t="s">
        <v>3367</v>
      </c>
      <c r="K32" t="str">
        <f>SUBSTITUTE(HMIPATH_AnalogueMeasure,"$",AnalogueMeasure[[#This Row],[ID]])</f>
        <v>ObjAnalogueMeasure.InOut[30]</v>
      </c>
      <c r="L32" t="str">
        <f>FAnalogueMeasure(AnalogueMeasure[[#This Row],[Obj]],AnalogueMeasure[[#This Row],[System]])</f>
        <v xml:space="preserve">#PT_SF1_SU01B_001(measure:="PT-SF1-SU01B-001",_x000D_
reset:=#Unit.AHU.Command.General_reset,
           Process:=#Unit.PT_SF1_SU01B_001,
           InOut:=SU01B,
           Parameters:="SU01B"."PT_SF1_SU01B_001".Parameters,
           Settings:="SU01B"."PT_SF1_SU01B_001".Settings);
</v>
      </c>
      <c r="M32" t="str" cm="1">
        <f t="array" ref="M32">AnaMeasureAMS(AnalogueMeasure[[#This Row],[Tag]])</f>
        <v xml:space="preserve">"AlarmWarningAMS"(Base:=#Sensor.InOut[_PT_SF1_SU01B_001].Base,
                  ConfigAMS:=#Sensor.AMS[_PT_SF1_SU01B_001],
                  ResultAMS:=#Unit.AMS);
</v>
      </c>
    </row>
    <row r="33" spans="1:13" x14ac:dyDescent="0.3">
      <c r="A33" t="s">
        <v>142</v>
      </c>
      <c r="B33" t="s">
        <v>1462</v>
      </c>
      <c r="C33" t="s">
        <v>1443</v>
      </c>
      <c r="D33" t="str" cm="1">
        <f t="array" ref="D33">GetSystemFromTag(AnalogueMeasure[[#This Row],[Obj]])</f>
        <v>HVAC_SU01B</v>
      </c>
      <c r="E33" t="str">
        <f>SUBSTITUTE(AnalogueMeasure[[#This Row],[RealTag]],"-","_")</f>
        <v>PT_SU01B_001</v>
      </c>
      <c r="F33" t="str">
        <f>"_" &amp; AnalogueMeasure[[#This Row],[Obj]]</f>
        <v>_PT_SU01B_001</v>
      </c>
      <c r="G33" t="s">
        <v>0</v>
      </c>
      <c r="H33">
        <f t="shared" si="5"/>
        <v>31</v>
      </c>
      <c r="I33" t="s">
        <v>1585</v>
      </c>
      <c r="J33" t="s">
        <v>3367</v>
      </c>
      <c r="K33" t="str">
        <f>SUBSTITUTE(HMIPATH_AnalogueMeasure,"$",AnalogueMeasure[[#This Row],[ID]])</f>
        <v>ObjAnalogueMeasure.InOut[31]</v>
      </c>
      <c r="L33" t="str">
        <f>FAnalogueMeasure(AnalogueMeasure[[#This Row],[Obj]],AnalogueMeasure[[#This Row],[System]])</f>
        <v xml:space="preserve">#PT_SU01B_001(measure:="PT-SU01B-001",_x000D_
reset:=#Unit.AHU.Command.General_reset,
           Process:=#Unit.PT_SU01B_001,
           InOut:=SU01B,
           Parameters:="SU01B"."PT_SU01B_001".Parameters,
           Settings:="SU01B"."PT_SU01B_001".Settings);
</v>
      </c>
      <c r="M33" t="str" cm="1">
        <f t="array" ref="M33">AnaMeasureAMS(AnalogueMeasure[[#This Row],[Tag]])</f>
        <v xml:space="preserve">"AlarmWarningAMS"(Base:=#Sensor.InOut[_PT_SU01B_001].Base,
                  ConfigAMS:=#Sensor.AMS[_PT_SU01B_001],
                  ResultAMS:=#Unit.AMS);
</v>
      </c>
    </row>
    <row r="34" spans="1:13" x14ac:dyDescent="0.3">
      <c r="A34" t="s">
        <v>142</v>
      </c>
      <c r="B34" t="s">
        <v>1463</v>
      </c>
      <c r="C34" t="s">
        <v>1443</v>
      </c>
      <c r="D34" t="str" cm="1">
        <f t="array" ref="D34">GetSystemFromTag(AnalogueMeasure[[#This Row],[Obj]])</f>
        <v>HVAC_SU01B</v>
      </c>
      <c r="E34" t="str">
        <f>SUBSTITUTE(AnalogueMeasure[[#This Row],[RealTag]],"-","_")</f>
        <v>PT_SU01B_002</v>
      </c>
      <c r="F34" t="str">
        <f>"_" &amp; AnalogueMeasure[[#This Row],[Obj]]</f>
        <v>_PT_SU01B_002</v>
      </c>
      <c r="G34" t="s">
        <v>0</v>
      </c>
      <c r="H34">
        <f t="shared" si="5"/>
        <v>32</v>
      </c>
      <c r="I34" t="s">
        <v>1585</v>
      </c>
      <c r="J34" t="s">
        <v>3367</v>
      </c>
      <c r="K34" t="str">
        <f>SUBSTITUTE(HMIPATH_AnalogueMeasure,"$",AnalogueMeasure[[#This Row],[ID]])</f>
        <v>ObjAnalogueMeasure.InOut[32]</v>
      </c>
      <c r="L34" t="str">
        <f>FAnalogueMeasure(AnalogueMeasure[[#This Row],[Obj]],AnalogueMeasure[[#This Row],[System]])</f>
        <v xml:space="preserve">#PT_SU01B_002(measure:="PT-SU01B-002",_x000D_
reset:=#Unit.AHU.Command.General_reset,
           Process:=#Unit.PT_SU01B_002,
           InOut:=SU01B,
           Parameters:="SU01B"."PT_SU01B_002".Parameters,
           Settings:="SU01B"."PT_SU01B_002".Settings);
</v>
      </c>
      <c r="M34" t="str" cm="1">
        <f t="array" ref="M34">AnaMeasureAMS(AnalogueMeasure[[#This Row],[Tag]])</f>
        <v xml:space="preserve">"AlarmWarningAMS"(Base:=#Sensor.InOut[_PT_SU01B_002].Base,
                  ConfigAMS:=#Sensor.AMS[_PT_SU01B_002],
                  ResultAMS:=#Unit.AMS);
</v>
      </c>
    </row>
    <row r="35" spans="1:13" x14ac:dyDescent="0.3">
      <c r="A35" t="s">
        <v>142</v>
      </c>
      <c r="B35" t="s">
        <v>1464</v>
      </c>
      <c r="C35" t="s">
        <v>1443</v>
      </c>
      <c r="D35" t="str" cm="1">
        <f t="array" ref="D35">GetSystemFromTag(AnalogueMeasure[[#This Row],[Obj]])</f>
        <v>HVAC_SU01B</v>
      </c>
      <c r="E35" t="str">
        <f>SUBSTITUTE(AnalogueMeasure[[#This Row],[RealTag]],"-","_")</f>
        <v>PT_EF1_SU01B_001</v>
      </c>
      <c r="F35" t="str">
        <f>"_" &amp; AnalogueMeasure[[#This Row],[Obj]]</f>
        <v>_PT_EF1_SU01B_001</v>
      </c>
      <c r="G35" t="s">
        <v>0</v>
      </c>
      <c r="H35">
        <f t="shared" si="5"/>
        <v>33</v>
      </c>
      <c r="I35" t="s">
        <v>1585</v>
      </c>
      <c r="J35" t="s">
        <v>3367</v>
      </c>
      <c r="K35" t="str">
        <f>SUBSTITUTE(HMIPATH_AnalogueMeasure,"$",AnalogueMeasure[[#This Row],[ID]])</f>
        <v>ObjAnalogueMeasure.InOut[33]</v>
      </c>
      <c r="L35" t="str">
        <f>FAnalogueMeasure(AnalogueMeasure[[#This Row],[Obj]],AnalogueMeasure[[#This Row],[System]])</f>
        <v xml:space="preserve">#PT_EF1_SU01B_001(measure:="PT-EF1-SU01B-001",_x000D_
reset:=#Unit.AHU.Command.General_reset,
           Process:=#Unit.PT_EF1_SU01B_001,
           InOut:=SU01B,
           Parameters:="SU01B"."PT_EF1_SU01B_001".Parameters,
           Settings:="SU01B"."PT_EF1_SU01B_001".Settings);
</v>
      </c>
      <c r="M35" t="str" cm="1">
        <f t="array" ref="M35">AnaMeasureAMS(AnalogueMeasure[[#This Row],[Tag]])</f>
        <v xml:space="preserve">"AlarmWarningAMS"(Base:=#Sensor.InOut[_PT_EF1_SU01B_001].Base,
                  ConfigAMS:=#Sensor.AMS[_PT_EF1_SU01B_001],
                  ResultAMS:=#Unit.AMS);
</v>
      </c>
    </row>
    <row r="36" spans="1:13" x14ac:dyDescent="0.3">
      <c r="A36" t="s">
        <v>142</v>
      </c>
      <c r="B36" t="s">
        <v>1465</v>
      </c>
      <c r="C36" t="s">
        <v>1442</v>
      </c>
      <c r="D36" t="str" cm="1">
        <f t="array" ref="D36">GetSystemFromTag(AnalogueMeasure[[#This Row],[Obj]])</f>
        <v>HVAC_SU01</v>
      </c>
      <c r="E36" t="str">
        <f>SUBSTITUTE(AnalogueMeasure[[#This Row],[RealTag]],"-","_")</f>
        <v>PT_F2_SU01_001</v>
      </c>
      <c r="F36" t="str">
        <f>"_" &amp; AnalogueMeasure[[#This Row],[Obj]]</f>
        <v>_PT_F2_SU01_001</v>
      </c>
      <c r="G36" t="s">
        <v>0</v>
      </c>
      <c r="H36">
        <f t="shared" si="5"/>
        <v>34</v>
      </c>
      <c r="I36" t="s">
        <v>1585</v>
      </c>
      <c r="J36" t="s">
        <v>3367</v>
      </c>
      <c r="K36" t="str">
        <f>SUBSTITUTE(HMIPATH_AnalogueMeasure,"$",AnalogueMeasure[[#This Row],[ID]])</f>
        <v>ObjAnalogueMeasure.InOut[34]</v>
      </c>
      <c r="L36" t="str">
        <f>FAnalogueMeasure(AnalogueMeasure[[#This Row],[Obj]],AnalogueMeasure[[#This Row],[System]])</f>
        <v xml:space="preserve">#PT_F2_SU01_001(measure:="PT-F2-SU01-001",_x000D_
reset:=#Unit.AHU.Command.General_reset,
           Process:=#Unit.PT_F2_SU01_001,
           InOut:=SU01,
           Parameters:="SU01"."PT_F2_SU01_001".Parameters,
           Settings:="SU01"."PT_F2_SU01_001".Settings);
</v>
      </c>
      <c r="M36" t="str" cm="1">
        <f t="array" ref="M36">AnaMeasureAMS(AnalogueMeasure[[#This Row],[Tag]])</f>
        <v xml:space="preserve">"AlarmWarningAMS"(Base:=#Sensor.InOut[_PT_F2_SU01_001].Base,
                  ConfigAMS:=#Sensor.AMS[_PT_F2_SU01_001],
                  ResultAMS:=#Unit.AMS);
</v>
      </c>
    </row>
    <row r="37" spans="1:13" x14ac:dyDescent="0.3">
      <c r="A37" t="s">
        <v>142</v>
      </c>
      <c r="B37" t="s">
        <v>1466</v>
      </c>
      <c r="C37" t="s">
        <v>1443</v>
      </c>
      <c r="D37" t="str" cm="1">
        <f t="array" ref="D37">GetSystemFromTag(AnalogueMeasure[[#This Row],[Obj]])</f>
        <v>HVAC_SU01B</v>
      </c>
      <c r="E37" t="str">
        <f>SUBSTITUTE(AnalogueMeasure[[#This Row],[RealTag]],"-","_")</f>
        <v>PT_F2_SU01B_001</v>
      </c>
      <c r="F37" t="str">
        <f>"_" &amp; AnalogueMeasure[[#This Row],[Obj]]</f>
        <v>_PT_F2_SU01B_001</v>
      </c>
      <c r="G37" t="s">
        <v>0</v>
      </c>
      <c r="H37">
        <f t="shared" si="5"/>
        <v>35</v>
      </c>
      <c r="I37" t="s">
        <v>1585</v>
      </c>
      <c r="J37" t="s">
        <v>3367</v>
      </c>
      <c r="K37" t="str">
        <f>SUBSTITUTE(HMIPATH_AnalogueMeasure,"$",AnalogueMeasure[[#This Row],[ID]])</f>
        <v>ObjAnalogueMeasure.InOut[35]</v>
      </c>
      <c r="L37" t="str">
        <f>FAnalogueMeasure(AnalogueMeasure[[#This Row],[Obj]],AnalogueMeasure[[#This Row],[System]])</f>
        <v xml:space="preserve">#PT_F2_SU01B_001(measure:="PT-F2-SU01B-001",_x000D_
reset:=#Unit.AHU.Command.General_reset,
           Process:=#Unit.PT_F2_SU01B_001,
           InOut:=SU01B,
           Parameters:="SU01B"."PT_F2_SU01B_001".Parameters,
           Settings:="SU01B"."PT_F2_SU01B_001".Settings);
</v>
      </c>
      <c r="M37" t="str" cm="1">
        <f t="array" ref="M37">AnaMeasureAMS(AnalogueMeasure[[#This Row],[Tag]])</f>
        <v xml:space="preserve">"AlarmWarningAMS"(Base:=#Sensor.InOut[_PT_F2_SU01B_001].Base,
                  ConfigAMS:=#Sensor.AMS[_PT_F2_SU01B_001],
                  ResultAMS:=#Unit.AMS);
</v>
      </c>
    </row>
    <row r="38" spans="1:13" x14ac:dyDescent="0.3">
      <c r="A38" t="s">
        <v>142</v>
      </c>
      <c r="B38" t="s">
        <v>949</v>
      </c>
      <c r="C38" t="s">
        <v>1442</v>
      </c>
      <c r="D38" t="str" cm="1">
        <f t="array" ref="D38">GetSystemFromTag(AnalogueMeasure[[#This Row],[Obj]])</f>
        <v>HVAC_R00103</v>
      </c>
      <c r="E38" t="str">
        <f>SUBSTITUTE(AnalogueMeasure[[#This Row],[RealTag]],"-","_")</f>
        <v>PT_FU_00103</v>
      </c>
      <c r="F38" t="str">
        <f>"_" &amp; AnalogueMeasure[[#This Row],[Obj]]</f>
        <v>_PT_FU_00103</v>
      </c>
      <c r="G38" t="s">
        <v>0</v>
      </c>
      <c r="H38">
        <f t="shared" si="5"/>
        <v>36</v>
      </c>
      <c r="I38" t="s">
        <v>1585</v>
      </c>
      <c r="J38" t="s">
        <v>3367</v>
      </c>
      <c r="K38" t="str">
        <f>SUBSTITUTE(HMIPATH_AnalogueMeasure,"$",AnalogueMeasure[[#This Row],[ID]])</f>
        <v>ObjAnalogueMeasure.InOut[36]</v>
      </c>
      <c r="L38" t="str">
        <f>FAnalogueMeasure(AnalogueMeasure[[#This Row],[Obj]],AnalogueMeasure[[#This Row],[System]])</f>
        <v xml:space="preserve">#PT_FU_00103(measure:="PT-FU-00103",_x000D_
reset:=#Unit.AHU.Command.General_reset,
           Process:=#Unit.PT_FU_00103,
           InOut:=SU01,
           Parameters:="SU01"."PT_FU_00103".Parameters,
           Settings:="SU01"."PT_FU_00103".Settings);
</v>
      </c>
      <c r="M38" t="str" cm="1">
        <f t="array" ref="M38">AnaMeasureAMS(AnalogueMeasure[[#This Row],[Tag]])</f>
        <v xml:space="preserve">"AlarmWarningAMS"(Base:=#Sensor.InOut[_PT_FU_00103].Base,
                  ConfigAMS:=#Sensor.AMS[_PT_FU_00103],
                  ResultAMS:=#Unit.AMS);
</v>
      </c>
    </row>
    <row r="39" spans="1:13" x14ac:dyDescent="0.3">
      <c r="A39" t="s">
        <v>142</v>
      </c>
      <c r="B39" t="s">
        <v>952</v>
      </c>
      <c r="C39" t="s">
        <v>1442</v>
      </c>
      <c r="D39" t="str" cm="1">
        <f t="array" ref="D39">GetSystemFromTag(AnalogueMeasure[[#This Row],[Obj]])</f>
        <v>HVAC_R00104</v>
      </c>
      <c r="E39" t="str">
        <f>SUBSTITUTE(AnalogueMeasure[[#This Row],[RealTag]],"-","_")</f>
        <v>PT_FU_00104</v>
      </c>
      <c r="F39" t="str">
        <f>"_" &amp; AnalogueMeasure[[#This Row],[Obj]]</f>
        <v>_PT_FU_00104</v>
      </c>
      <c r="G39" t="s">
        <v>0</v>
      </c>
      <c r="H39">
        <f t="shared" si="5"/>
        <v>37</v>
      </c>
      <c r="I39" t="s">
        <v>1585</v>
      </c>
      <c r="J39" t="s">
        <v>3367</v>
      </c>
      <c r="K39" t="str">
        <f>SUBSTITUTE(HMIPATH_AnalogueMeasure,"$",AnalogueMeasure[[#This Row],[ID]])</f>
        <v>ObjAnalogueMeasure.InOut[37]</v>
      </c>
      <c r="L39" t="str">
        <f>FAnalogueMeasure(AnalogueMeasure[[#This Row],[Obj]],AnalogueMeasure[[#This Row],[System]])</f>
        <v xml:space="preserve">#PT_FU_00104(measure:="PT-FU-00104",_x000D_
reset:=#Unit.AHU.Command.General_reset,
           Process:=#Unit.PT_FU_00104,
           InOut:=SU01,
           Parameters:="SU01"."PT_FU_00104".Parameters,
           Settings:="SU01"."PT_FU_00104".Settings);
</v>
      </c>
      <c r="M39" t="str" cm="1">
        <f t="array" ref="M39">AnaMeasureAMS(AnalogueMeasure[[#This Row],[Tag]])</f>
        <v xml:space="preserve">"AlarmWarningAMS"(Base:=#Sensor.InOut[_PT_FU_00104].Base,
                  ConfigAMS:=#Sensor.AMS[_PT_FU_00104],
                  ResultAMS:=#Unit.AMS);
</v>
      </c>
    </row>
    <row r="40" spans="1:13" x14ac:dyDescent="0.3">
      <c r="A40" t="s">
        <v>142</v>
      </c>
      <c r="B40" t="s">
        <v>953</v>
      </c>
      <c r="C40" t="s">
        <v>1442</v>
      </c>
      <c r="D40" t="str" cm="1">
        <f t="array" ref="D40">GetSystemFromTag(AnalogueMeasure[[#This Row],[Obj]])</f>
        <v>HVAC_R00115</v>
      </c>
      <c r="E40" t="str">
        <f>SUBSTITUTE(AnalogueMeasure[[#This Row],[RealTag]],"-","_")</f>
        <v>PT_FU_00115</v>
      </c>
      <c r="F40" t="str">
        <f>"_" &amp; AnalogueMeasure[[#This Row],[Obj]]</f>
        <v>_PT_FU_00115</v>
      </c>
      <c r="G40" t="s">
        <v>0</v>
      </c>
      <c r="H40">
        <f t="shared" si="5"/>
        <v>38</v>
      </c>
      <c r="I40" t="s">
        <v>1585</v>
      </c>
      <c r="J40" t="s">
        <v>3367</v>
      </c>
      <c r="K40" t="str">
        <f>SUBSTITUTE(HMIPATH_AnalogueMeasure,"$",AnalogueMeasure[[#This Row],[ID]])</f>
        <v>ObjAnalogueMeasure.InOut[38]</v>
      </c>
      <c r="L40" t="str">
        <f>FAnalogueMeasure(AnalogueMeasure[[#This Row],[Obj]],AnalogueMeasure[[#This Row],[System]])</f>
        <v xml:space="preserve">#PT_FU_00115(measure:="PT-FU-00115",_x000D_
reset:=#Unit.AHU.Command.General_reset,
           Process:=#Unit.PT_FU_00115,
           InOut:=SU01,
           Parameters:="SU01"."PT_FU_00115".Parameters,
           Settings:="SU01"."PT_FU_00115".Settings);
</v>
      </c>
      <c r="M40" t="str" cm="1">
        <f t="array" ref="M40">AnaMeasureAMS(AnalogueMeasure[[#This Row],[Tag]])</f>
        <v xml:space="preserve">"AlarmWarningAMS"(Base:=#Sensor.InOut[_PT_FU_00115].Base,
                  ConfigAMS:=#Sensor.AMS[_PT_FU_00115],
                  ResultAMS:=#Unit.AMS);
</v>
      </c>
    </row>
    <row r="41" spans="1:13" x14ac:dyDescent="0.3">
      <c r="A41" t="s">
        <v>142</v>
      </c>
      <c r="B41" t="s">
        <v>954</v>
      </c>
      <c r="C41" t="s">
        <v>1442</v>
      </c>
      <c r="D41" t="str" cm="1">
        <f t="array" ref="D41">GetSystemFromTag(AnalogueMeasure[[#This Row],[Obj]])</f>
        <v>HVAC_R00101</v>
      </c>
      <c r="E41" t="str">
        <f>SUBSTITUTE(AnalogueMeasure[[#This Row],[RealTag]],"-","_")</f>
        <v>PDT_00101_001</v>
      </c>
      <c r="F41" t="str">
        <f>"_" &amp; AnalogueMeasure[[#This Row],[Obj]]</f>
        <v>_PDT_00101_001</v>
      </c>
      <c r="G41" t="s">
        <v>0</v>
      </c>
      <c r="H41">
        <f t="shared" si="5"/>
        <v>39</v>
      </c>
      <c r="I41" t="s">
        <v>1585</v>
      </c>
      <c r="J41" t="s">
        <v>3367</v>
      </c>
      <c r="K41" t="str">
        <f>SUBSTITUTE(HMIPATH_AnalogueMeasure,"$",AnalogueMeasure[[#This Row],[ID]])</f>
        <v>ObjAnalogueMeasure.InOut[39]</v>
      </c>
      <c r="L41" t="str">
        <f>FAnalogueMeasure(AnalogueMeasure[[#This Row],[Obj]],AnalogueMeasure[[#This Row],[System]])</f>
        <v xml:space="preserve">#PDT_00101_001(measure:="PDT-00101-001",_x000D_
reset:=#Unit.AHU.Command.General_reset,
           Process:=#Unit.PDT_00101_001,
           InOut:=SU01,
           Parameters:="SU01"."PDT_00101_001".Parameters,
           Settings:="SU01"."PDT_00101_001".Settings);
</v>
      </c>
      <c r="M41" t="str" cm="1">
        <f t="array" ref="M41">AnaMeasureAMS(AnalogueMeasure[[#This Row],[Tag]])</f>
        <v xml:space="preserve">"AlarmWarningAMS"(Base:=#Sensor.InOut[_PDT_00101_001].Base,
                  ConfigAMS:=#Sensor.AMS[_PDT_00101_001],
                  ResultAMS:=#Unit.AMS);
</v>
      </c>
    </row>
    <row r="42" spans="1:13" x14ac:dyDescent="0.3">
      <c r="A42" t="s">
        <v>142</v>
      </c>
      <c r="B42" t="s">
        <v>958</v>
      </c>
      <c r="C42" t="s">
        <v>1442</v>
      </c>
      <c r="D42" t="str" cm="1">
        <f t="array" ref="D42">GetSystemFromTag(AnalogueMeasure[[#This Row],[Obj]])</f>
        <v>HVAC_R00102</v>
      </c>
      <c r="E42" t="str">
        <f>SUBSTITUTE(AnalogueMeasure[[#This Row],[RealTag]],"-","_")</f>
        <v>PDT_00102_001</v>
      </c>
      <c r="F42" t="str">
        <f>"_" &amp; AnalogueMeasure[[#This Row],[Obj]]</f>
        <v>_PDT_00102_001</v>
      </c>
      <c r="G42" t="s">
        <v>0</v>
      </c>
      <c r="H42">
        <f t="shared" si="5"/>
        <v>40</v>
      </c>
      <c r="I42" t="s">
        <v>1585</v>
      </c>
      <c r="J42" t="s">
        <v>3367</v>
      </c>
      <c r="K42" t="str">
        <f>SUBSTITUTE(HMIPATH_AnalogueMeasure,"$",AnalogueMeasure[[#This Row],[ID]])</f>
        <v>ObjAnalogueMeasure.InOut[40]</v>
      </c>
      <c r="L42" t="str">
        <f>FAnalogueMeasure(AnalogueMeasure[[#This Row],[Obj]],AnalogueMeasure[[#This Row],[System]])</f>
        <v xml:space="preserve">#PDT_00102_001(measure:="PDT-00102-001",_x000D_
reset:=#Unit.AHU.Command.General_reset,
           Process:=#Unit.PDT_00102_001,
           InOut:=SU01,
           Parameters:="SU01"."PDT_00102_001".Parameters,
           Settings:="SU01"."PDT_00102_001".Settings);
</v>
      </c>
      <c r="M42" t="str" cm="1">
        <f t="array" ref="M42">AnaMeasureAMS(AnalogueMeasure[[#This Row],[Tag]])</f>
        <v xml:space="preserve">"AlarmWarningAMS"(Base:=#Sensor.InOut[_PDT_00102_001].Base,
                  ConfigAMS:=#Sensor.AMS[_PDT_00102_001],
                  ResultAMS:=#Unit.AMS);
</v>
      </c>
    </row>
    <row r="43" spans="1:13" x14ac:dyDescent="0.3">
      <c r="A43" t="s">
        <v>142</v>
      </c>
      <c r="B43" t="s">
        <v>959</v>
      </c>
      <c r="C43" t="s">
        <v>1442</v>
      </c>
      <c r="D43" t="str" cm="1">
        <f t="array" ref="D43">GetSystemFromTag(AnalogueMeasure[[#This Row],[Obj]])</f>
        <v>HVAC_R00103</v>
      </c>
      <c r="E43" t="str">
        <f>SUBSTITUTE(AnalogueMeasure[[#This Row],[RealTag]],"-","_")</f>
        <v>PDT_00103_001</v>
      </c>
      <c r="F43" t="str">
        <f>"_" &amp; AnalogueMeasure[[#This Row],[Obj]]</f>
        <v>_PDT_00103_001</v>
      </c>
      <c r="G43" t="s">
        <v>0</v>
      </c>
      <c r="H43">
        <f t="shared" si="5"/>
        <v>41</v>
      </c>
      <c r="I43" t="s">
        <v>1585</v>
      </c>
      <c r="J43" t="s">
        <v>3367</v>
      </c>
      <c r="K43" t="str">
        <f>SUBSTITUTE(HMIPATH_AnalogueMeasure,"$",AnalogueMeasure[[#This Row],[ID]])</f>
        <v>ObjAnalogueMeasure.InOut[41]</v>
      </c>
      <c r="L43" t="str">
        <f>FAnalogueMeasure(AnalogueMeasure[[#This Row],[Obj]],AnalogueMeasure[[#This Row],[System]])</f>
        <v xml:space="preserve">#PDT_00103_001(measure:="PDT-00103-001",_x000D_
reset:=#Unit.AHU.Command.General_reset,
           Process:=#Unit.PDT_00103_001,
           InOut:=SU01,
           Parameters:="SU01"."PDT_00103_001".Parameters,
           Settings:="SU01"."PDT_00103_001".Settings);
</v>
      </c>
      <c r="M43" t="str" cm="1">
        <f t="array" ref="M43">AnaMeasureAMS(AnalogueMeasure[[#This Row],[Tag]])</f>
        <v xml:space="preserve">"AlarmWarningAMS"(Base:=#Sensor.InOut[_PDT_00103_001].Base,
                  ConfigAMS:=#Sensor.AMS[_PDT_00103_001],
                  ResultAMS:=#Unit.AMS);
</v>
      </c>
    </row>
    <row r="44" spans="1:13" x14ac:dyDescent="0.3">
      <c r="A44" t="s">
        <v>142</v>
      </c>
      <c r="B44" t="s">
        <v>960</v>
      </c>
      <c r="C44" t="s">
        <v>1442</v>
      </c>
      <c r="D44" t="str" cm="1">
        <f t="array" ref="D44">GetSystemFromTag(AnalogueMeasure[[#This Row],[Obj]])</f>
        <v>HVAC_R00104</v>
      </c>
      <c r="E44" t="str">
        <f>SUBSTITUTE(AnalogueMeasure[[#This Row],[RealTag]],"-","_")</f>
        <v>PDT_00104_001</v>
      </c>
      <c r="F44" t="str">
        <f>"_" &amp; AnalogueMeasure[[#This Row],[Obj]]</f>
        <v>_PDT_00104_001</v>
      </c>
      <c r="G44" t="s">
        <v>0</v>
      </c>
      <c r="H44">
        <f t="shared" si="5"/>
        <v>42</v>
      </c>
      <c r="I44" t="s">
        <v>1585</v>
      </c>
      <c r="J44" t="s">
        <v>3367</v>
      </c>
      <c r="K44" t="str">
        <f>SUBSTITUTE(HMIPATH_AnalogueMeasure,"$",AnalogueMeasure[[#This Row],[ID]])</f>
        <v>ObjAnalogueMeasure.InOut[42]</v>
      </c>
      <c r="L44" t="str">
        <f>FAnalogueMeasure(AnalogueMeasure[[#This Row],[Obj]],AnalogueMeasure[[#This Row],[System]])</f>
        <v xml:space="preserve">#PDT_00104_001(measure:="PDT-00104-001",_x000D_
reset:=#Unit.AHU.Command.General_reset,
           Process:=#Unit.PDT_00104_001,
           InOut:=SU01,
           Parameters:="SU01"."PDT_00104_001".Parameters,
           Settings:="SU01"."PDT_00104_001".Settings);
</v>
      </c>
      <c r="M44" t="str" cm="1">
        <f t="array" ref="M44">AnaMeasureAMS(AnalogueMeasure[[#This Row],[Tag]])</f>
        <v xml:space="preserve">"AlarmWarningAMS"(Base:=#Sensor.InOut[_PDT_00104_001].Base,
                  ConfigAMS:=#Sensor.AMS[_PDT_00104_001],
                  ResultAMS:=#Unit.AMS);
</v>
      </c>
    </row>
    <row r="45" spans="1:13" x14ac:dyDescent="0.3">
      <c r="A45" t="s">
        <v>142</v>
      </c>
      <c r="B45" t="s">
        <v>961</v>
      </c>
      <c r="C45" t="s">
        <v>1442</v>
      </c>
      <c r="D45" t="str" cm="1">
        <f t="array" ref="D45">GetSystemFromTag(AnalogueMeasure[[#This Row],[Obj]])</f>
        <v>HVAC_R00105</v>
      </c>
      <c r="E45" t="str">
        <f>SUBSTITUTE(AnalogueMeasure[[#This Row],[RealTag]],"-","_")</f>
        <v>PDT_00105_001</v>
      </c>
      <c r="F45" t="str">
        <f>"_" &amp; AnalogueMeasure[[#This Row],[Obj]]</f>
        <v>_PDT_00105_001</v>
      </c>
      <c r="G45" t="s">
        <v>0</v>
      </c>
      <c r="H45">
        <f t="shared" si="5"/>
        <v>43</v>
      </c>
      <c r="I45" t="s">
        <v>1585</v>
      </c>
      <c r="J45" t="s">
        <v>3367</v>
      </c>
      <c r="K45" t="str">
        <f>SUBSTITUTE(HMIPATH_AnalogueMeasure,"$",AnalogueMeasure[[#This Row],[ID]])</f>
        <v>ObjAnalogueMeasure.InOut[43]</v>
      </c>
      <c r="L45" t="str">
        <f>FAnalogueMeasure(AnalogueMeasure[[#This Row],[Obj]],AnalogueMeasure[[#This Row],[System]])</f>
        <v xml:space="preserve">#PDT_00105_001(measure:="PDT-00105-001",_x000D_
reset:=#Unit.AHU.Command.General_reset,
           Process:=#Unit.PDT_00105_001,
           InOut:=SU01,
           Parameters:="SU01"."PDT_00105_001".Parameters,
           Settings:="SU01"."PDT_00105_001".Settings);
</v>
      </c>
      <c r="M45" t="str" cm="1">
        <f t="array" ref="M45">AnaMeasureAMS(AnalogueMeasure[[#This Row],[Tag]])</f>
        <v xml:space="preserve">"AlarmWarningAMS"(Base:=#Sensor.InOut[_PDT_00105_001].Base,
                  ConfigAMS:=#Sensor.AMS[_PDT_00105_001],
                  ResultAMS:=#Unit.AMS);
</v>
      </c>
    </row>
    <row r="46" spans="1:13" x14ac:dyDescent="0.3">
      <c r="A46" t="s">
        <v>142</v>
      </c>
      <c r="B46" t="s">
        <v>962</v>
      </c>
      <c r="C46" t="s">
        <v>1442</v>
      </c>
      <c r="D46" t="str" cm="1">
        <f t="array" ref="D46">GetSystemFromTag(AnalogueMeasure[[#This Row],[Obj]])</f>
        <v>HVAC_R00106</v>
      </c>
      <c r="E46" t="str">
        <f>SUBSTITUTE(AnalogueMeasure[[#This Row],[RealTag]],"-","_")</f>
        <v>PDT_00106_001</v>
      </c>
      <c r="F46" t="str">
        <f>"_" &amp; AnalogueMeasure[[#This Row],[Obj]]</f>
        <v>_PDT_00106_001</v>
      </c>
      <c r="G46" t="s">
        <v>0</v>
      </c>
      <c r="H46">
        <f t="shared" si="5"/>
        <v>44</v>
      </c>
      <c r="I46" t="s">
        <v>1585</v>
      </c>
      <c r="J46" t="s">
        <v>3367</v>
      </c>
      <c r="K46" t="str">
        <f>SUBSTITUTE(HMIPATH_AnalogueMeasure,"$",AnalogueMeasure[[#This Row],[ID]])</f>
        <v>ObjAnalogueMeasure.InOut[44]</v>
      </c>
      <c r="L46" t="str">
        <f>FAnalogueMeasure(AnalogueMeasure[[#This Row],[Obj]],AnalogueMeasure[[#This Row],[System]])</f>
        <v xml:space="preserve">#PDT_00106_001(measure:="PDT-00106-001",_x000D_
reset:=#Unit.AHU.Command.General_reset,
           Process:=#Unit.PDT_00106_001,
           InOut:=SU01,
           Parameters:="SU01"."PDT_00106_001".Parameters,
           Settings:="SU01"."PDT_00106_001".Settings);
</v>
      </c>
      <c r="M46" t="str" cm="1">
        <f t="array" ref="M46">AnaMeasureAMS(AnalogueMeasure[[#This Row],[Tag]])</f>
        <v xml:space="preserve">"AlarmWarningAMS"(Base:=#Sensor.InOut[_PDT_00106_001].Base,
                  ConfigAMS:=#Sensor.AMS[_PDT_00106_001],
                  ResultAMS:=#Unit.AMS);
</v>
      </c>
    </row>
    <row r="47" spans="1:13" x14ac:dyDescent="0.3">
      <c r="A47" t="s">
        <v>142</v>
      </c>
      <c r="B47" t="s">
        <v>963</v>
      </c>
      <c r="C47" t="s">
        <v>1442</v>
      </c>
      <c r="D47" t="str" cm="1">
        <f t="array" ref="D47">GetSystemFromTag(AnalogueMeasure[[#This Row],[Obj]])</f>
        <v>HVAC_R00106</v>
      </c>
      <c r="E47" t="str">
        <f>SUBSTITUTE(AnalogueMeasure[[#This Row],[RealTag]],"-","_")</f>
        <v>PT_00106_001</v>
      </c>
      <c r="F47" t="str">
        <f>"_" &amp; AnalogueMeasure[[#This Row],[Obj]]</f>
        <v>_PT_00106_001</v>
      </c>
      <c r="G47" t="s">
        <v>0</v>
      </c>
      <c r="H47">
        <f t="shared" si="5"/>
        <v>45</v>
      </c>
      <c r="I47" t="s">
        <v>1585</v>
      </c>
      <c r="J47" t="s">
        <v>3367</v>
      </c>
      <c r="K47" t="str">
        <f>SUBSTITUTE(HMIPATH_AnalogueMeasure,"$",AnalogueMeasure[[#This Row],[ID]])</f>
        <v>ObjAnalogueMeasure.InOut[45]</v>
      </c>
      <c r="L47" t="str">
        <f>FAnalogueMeasure(AnalogueMeasure[[#This Row],[Obj]],AnalogueMeasure[[#This Row],[System]])</f>
        <v xml:space="preserve">#PT_00106_001(measure:="PT-00106-001",_x000D_
reset:=#Unit.AHU.Command.General_reset,
           Process:=#Unit.PT_00106_001,
           InOut:=SU01,
           Parameters:="SU01"."PT_00106_001".Parameters,
           Settings:="SU01"."PT_00106_001".Settings);
</v>
      </c>
      <c r="M47" t="str" cm="1">
        <f t="array" ref="M47">AnaMeasureAMS(AnalogueMeasure[[#This Row],[Tag]])</f>
        <v xml:space="preserve">"AlarmWarningAMS"(Base:=#Sensor.InOut[_PT_00106_001].Base,
                  ConfigAMS:=#Sensor.AMS[_PT_00106_001],
                  ResultAMS:=#Unit.AMS);
</v>
      </c>
    </row>
    <row r="48" spans="1:13" x14ac:dyDescent="0.3">
      <c r="A48" t="s">
        <v>142</v>
      </c>
      <c r="B48" t="s">
        <v>967</v>
      </c>
      <c r="C48" t="s">
        <v>1442</v>
      </c>
      <c r="D48" t="str" cm="1">
        <f t="array" ref="D48">GetSystemFromTag(AnalogueMeasure[[#This Row],[Obj]])</f>
        <v>HVAC_R00111</v>
      </c>
      <c r="E48" t="str">
        <f>SUBSTITUTE(AnalogueMeasure[[#This Row],[RealTag]],"-","_")</f>
        <v>PDT_00111_001</v>
      </c>
      <c r="F48" t="str">
        <f>"_" &amp; AnalogueMeasure[[#This Row],[Obj]]</f>
        <v>_PDT_00111_001</v>
      </c>
      <c r="G48" t="s">
        <v>0</v>
      </c>
      <c r="H48">
        <f t="shared" si="5"/>
        <v>46</v>
      </c>
      <c r="I48" t="s">
        <v>1585</v>
      </c>
      <c r="J48" t="s">
        <v>3367</v>
      </c>
      <c r="K48" t="str">
        <f>SUBSTITUTE(HMIPATH_AnalogueMeasure,"$",AnalogueMeasure[[#This Row],[ID]])</f>
        <v>ObjAnalogueMeasure.InOut[46]</v>
      </c>
      <c r="L48" t="str">
        <f>FAnalogueMeasure(AnalogueMeasure[[#This Row],[Obj]],AnalogueMeasure[[#This Row],[System]])</f>
        <v xml:space="preserve">#PDT_00111_001(measure:="PDT-00111-001",_x000D_
reset:=#Unit.AHU.Command.General_reset,
           Process:=#Unit.PDT_00111_001,
           InOut:=SU01,
           Parameters:="SU01"."PDT_00111_001".Parameters,
           Settings:="SU01"."PDT_00111_001".Settings);
</v>
      </c>
      <c r="M48" t="str" cm="1">
        <f t="array" ref="M48">AnaMeasureAMS(AnalogueMeasure[[#This Row],[Tag]])</f>
        <v xml:space="preserve">"AlarmWarningAMS"(Base:=#Sensor.InOut[_PDT_00111_001].Base,
                  ConfigAMS:=#Sensor.AMS[_PDT_00111_001],
                  ResultAMS:=#Unit.AMS);
</v>
      </c>
    </row>
    <row r="49" spans="1:13" x14ac:dyDescent="0.3">
      <c r="A49" t="s">
        <v>142</v>
      </c>
      <c r="B49" t="s">
        <v>968</v>
      </c>
      <c r="C49" t="s">
        <v>1443</v>
      </c>
      <c r="D49" t="str" cm="1">
        <f t="array" ref="D49">GetSystemFromTag(AnalogueMeasure[[#This Row],[Obj]])</f>
        <v>HVAC_R00112</v>
      </c>
      <c r="E49" t="str">
        <f>SUBSTITUTE(AnalogueMeasure[[#This Row],[RealTag]],"-","_")</f>
        <v>PDT_00112_001</v>
      </c>
      <c r="F49" t="str">
        <f>"_" &amp; AnalogueMeasure[[#This Row],[Obj]]</f>
        <v>_PDT_00112_001</v>
      </c>
      <c r="G49" t="s">
        <v>0</v>
      </c>
      <c r="H49">
        <f t="shared" si="5"/>
        <v>47</v>
      </c>
      <c r="I49" t="s">
        <v>1585</v>
      </c>
      <c r="J49" t="s">
        <v>3367</v>
      </c>
      <c r="K49" t="str">
        <f>SUBSTITUTE(HMIPATH_AnalogueMeasure,"$",AnalogueMeasure[[#This Row],[ID]])</f>
        <v>ObjAnalogueMeasure.InOut[47]</v>
      </c>
      <c r="L49" t="str">
        <f>FAnalogueMeasure(AnalogueMeasure[[#This Row],[Obj]],AnalogueMeasure[[#This Row],[System]])</f>
        <v xml:space="preserve">#PDT_00112_001(measure:="PDT-00112-001",_x000D_
reset:=#Unit.AHU.Command.General_reset,
           Process:=#Unit.PDT_00112_001,
           InOut:=SU01B,
           Parameters:="SU01B"."PDT_00112_001".Parameters,
           Settings:="SU01B"."PDT_00112_001".Settings);
</v>
      </c>
      <c r="M49" t="str" cm="1">
        <f t="array" ref="M49">AnaMeasureAMS(AnalogueMeasure[[#This Row],[Tag]])</f>
        <v xml:space="preserve">"AlarmWarningAMS"(Base:=#Sensor.InOut[_PDT_00112_001].Base,
                  ConfigAMS:=#Sensor.AMS[_PDT_00112_001],
                  ResultAMS:=#Unit.AMS);
</v>
      </c>
    </row>
    <row r="50" spans="1:13" x14ac:dyDescent="0.3">
      <c r="A50" t="s">
        <v>142</v>
      </c>
      <c r="B50" t="s">
        <v>969</v>
      </c>
      <c r="C50" t="s">
        <v>1442</v>
      </c>
      <c r="D50" t="str" cm="1">
        <f t="array" ref="D50">GetSystemFromTag(AnalogueMeasure[[#This Row],[Obj]])</f>
        <v>HVAC_R00113</v>
      </c>
      <c r="E50" t="str">
        <f>SUBSTITUTE(AnalogueMeasure[[#This Row],[RealTag]],"-","_")</f>
        <v>PDT_00113_001</v>
      </c>
      <c r="F50" t="str">
        <f>"_" &amp; AnalogueMeasure[[#This Row],[Obj]]</f>
        <v>_PDT_00113_001</v>
      </c>
      <c r="G50" t="s">
        <v>0</v>
      </c>
      <c r="H50">
        <f t="shared" si="5"/>
        <v>48</v>
      </c>
      <c r="I50" t="s">
        <v>1585</v>
      </c>
      <c r="J50" t="s">
        <v>3367</v>
      </c>
      <c r="K50" t="str">
        <f>SUBSTITUTE(HMIPATH_AnalogueMeasure,"$",AnalogueMeasure[[#This Row],[ID]])</f>
        <v>ObjAnalogueMeasure.InOut[48]</v>
      </c>
      <c r="L50" t="str">
        <f>FAnalogueMeasure(AnalogueMeasure[[#This Row],[Obj]],AnalogueMeasure[[#This Row],[System]])</f>
        <v xml:space="preserve">#PDT_00113_001(measure:="PDT-00113-001",_x000D_
reset:=#Unit.AHU.Command.General_reset,
           Process:=#Unit.PDT_00113_001,
           InOut:=SU01,
           Parameters:="SU01"."PDT_00113_001".Parameters,
           Settings:="SU01"."PDT_00113_001".Settings);
</v>
      </c>
      <c r="M50" t="str" cm="1">
        <f t="array" ref="M50">AnaMeasureAMS(AnalogueMeasure[[#This Row],[Tag]])</f>
        <v xml:space="preserve">"AlarmWarningAMS"(Base:=#Sensor.InOut[_PDT_00113_001].Base,
                  ConfigAMS:=#Sensor.AMS[_PDT_00113_001],
                  ResultAMS:=#Unit.AMS);
</v>
      </c>
    </row>
    <row r="51" spans="1:13" x14ac:dyDescent="0.3">
      <c r="A51" t="s">
        <v>142</v>
      </c>
      <c r="B51" t="s">
        <v>970</v>
      </c>
      <c r="C51" t="s">
        <v>1442</v>
      </c>
      <c r="D51" t="str" cm="1">
        <f t="array" ref="D51">GetSystemFromTag(AnalogueMeasure[[#This Row],[Obj]])</f>
        <v>HVAC_R00114</v>
      </c>
      <c r="E51" t="str">
        <f>SUBSTITUTE(AnalogueMeasure[[#This Row],[RealTag]],"-","_")</f>
        <v>PDT_00114_001</v>
      </c>
      <c r="F51" t="str">
        <f>"_" &amp; AnalogueMeasure[[#This Row],[Obj]]</f>
        <v>_PDT_00114_001</v>
      </c>
      <c r="G51" t="s">
        <v>0</v>
      </c>
      <c r="H51">
        <f t="shared" si="5"/>
        <v>49</v>
      </c>
      <c r="I51" t="s">
        <v>1585</v>
      </c>
      <c r="J51" t="s">
        <v>3367</v>
      </c>
      <c r="K51" t="str">
        <f>SUBSTITUTE(HMIPATH_AnalogueMeasure,"$",AnalogueMeasure[[#This Row],[ID]])</f>
        <v>ObjAnalogueMeasure.InOut[49]</v>
      </c>
      <c r="L51" t="str">
        <f>FAnalogueMeasure(AnalogueMeasure[[#This Row],[Obj]],AnalogueMeasure[[#This Row],[System]])</f>
        <v xml:space="preserve">#PDT_00114_001(measure:="PDT-00114-001",_x000D_
reset:=#Unit.AHU.Command.General_reset,
           Process:=#Unit.PDT_00114_001,
           InOut:=SU01,
           Parameters:="SU01"."PDT_00114_001".Parameters,
           Settings:="SU01"."PDT_00114_001".Settings);
</v>
      </c>
      <c r="M51" t="str" cm="1">
        <f t="array" ref="M51">AnaMeasureAMS(AnalogueMeasure[[#This Row],[Tag]])</f>
        <v xml:space="preserve">"AlarmWarningAMS"(Base:=#Sensor.InOut[_PDT_00114_001].Base,
                  ConfigAMS:=#Sensor.AMS[_PDT_00114_001],
                  ResultAMS:=#Unit.AMS);
</v>
      </c>
    </row>
    <row r="52" spans="1:13" x14ac:dyDescent="0.3">
      <c r="A52" t="s">
        <v>142</v>
      </c>
      <c r="B52" t="s">
        <v>971</v>
      </c>
      <c r="C52" t="s">
        <v>1442</v>
      </c>
      <c r="D52" t="str" cm="1">
        <f t="array" ref="D52">GetSystemFromTag(AnalogueMeasure[[#This Row],[Obj]])</f>
        <v>HVAC_R00115</v>
      </c>
      <c r="E52" t="str">
        <f>SUBSTITUTE(AnalogueMeasure[[#This Row],[RealTag]],"-","_")</f>
        <v>PDT_00115_001</v>
      </c>
      <c r="F52" t="str">
        <f>"_" &amp; AnalogueMeasure[[#This Row],[Obj]]</f>
        <v>_PDT_00115_001</v>
      </c>
      <c r="G52" t="s">
        <v>0</v>
      </c>
      <c r="H52">
        <f t="shared" si="5"/>
        <v>50</v>
      </c>
      <c r="I52" t="s">
        <v>1585</v>
      </c>
      <c r="J52" t="s">
        <v>3367</v>
      </c>
      <c r="K52" t="str">
        <f>SUBSTITUTE(HMIPATH_AnalogueMeasure,"$",AnalogueMeasure[[#This Row],[ID]])</f>
        <v>ObjAnalogueMeasure.InOut[50]</v>
      </c>
      <c r="L52" t="str">
        <f>FAnalogueMeasure(AnalogueMeasure[[#This Row],[Obj]],AnalogueMeasure[[#This Row],[System]])</f>
        <v xml:space="preserve">#PDT_00115_001(measure:="PDT-00115-001",_x000D_
reset:=#Unit.AHU.Command.General_reset,
           Process:=#Unit.PDT_00115_001,
           InOut:=SU01,
           Parameters:="SU01"."PDT_00115_001".Parameters,
           Settings:="SU01"."PDT_00115_001".Settings);
</v>
      </c>
      <c r="M52" t="str" cm="1">
        <f t="array" ref="M52">AnaMeasureAMS(AnalogueMeasure[[#This Row],[Tag]])</f>
        <v xml:space="preserve">"AlarmWarningAMS"(Base:=#Sensor.InOut[_PDT_00115_001].Base,
                  ConfigAMS:=#Sensor.AMS[_PDT_00115_001],
                  ResultAMS:=#Unit.AMS);
</v>
      </c>
    </row>
    <row r="53" spans="1:13" x14ac:dyDescent="0.3">
      <c r="A53" t="s">
        <v>142</v>
      </c>
      <c r="B53" t="s">
        <v>972</v>
      </c>
      <c r="C53" t="s">
        <v>1442</v>
      </c>
      <c r="D53" t="str" cm="1">
        <f t="array" ref="D53">GetSystemFromTag(AnalogueMeasure[[#This Row],[Obj]])</f>
        <v>HVAC_R00116</v>
      </c>
      <c r="E53" t="str">
        <f>SUBSTITUTE(AnalogueMeasure[[#This Row],[RealTag]],"-","_")</f>
        <v>PDT_00116_001</v>
      </c>
      <c r="F53" t="str">
        <f>"_" &amp; AnalogueMeasure[[#This Row],[Obj]]</f>
        <v>_PDT_00116_001</v>
      </c>
      <c r="G53" t="s">
        <v>0</v>
      </c>
      <c r="H53">
        <f t="shared" si="5"/>
        <v>51</v>
      </c>
      <c r="I53" t="s">
        <v>1585</v>
      </c>
      <c r="J53" t="s">
        <v>3367</v>
      </c>
      <c r="K53" t="str">
        <f>SUBSTITUTE(HMIPATH_AnalogueMeasure,"$",AnalogueMeasure[[#This Row],[ID]])</f>
        <v>ObjAnalogueMeasure.InOut[51]</v>
      </c>
      <c r="L53" t="str">
        <f>FAnalogueMeasure(AnalogueMeasure[[#This Row],[Obj]],AnalogueMeasure[[#This Row],[System]])</f>
        <v xml:space="preserve">#PDT_00116_001(measure:="PDT-00116-001",_x000D_
reset:=#Unit.AHU.Command.General_reset,
           Process:=#Unit.PDT_00116_001,
           InOut:=SU01,
           Parameters:="SU01"."PDT_00116_001".Parameters,
           Settings:="SU01"."PDT_00116_001".Settings);
</v>
      </c>
      <c r="M53" t="str" cm="1">
        <f t="array" ref="M53">AnaMeasureAMS(AnalogueMeasure[[#This Row],[Tag]])</f>
        <v xml:space="preserve">"AlarmWarningAMS"(Base:=#Sensor.InOut[_PDT_00116_001].Base,
                  ConfigAMS:=#Sensor.AMS[_PDT_00116_001],
                  ResultAMS:=#Unit.AMS);
</v>
      </c>
    </row>
    <row r="54" spans="1:13" x14ac:dyDescent="0.3">
      <c r="A54" t="s">
        <v>142</v>
      </c>
      <c r="B54" s="3" t="s">
        <v>1588</v>
      </c>
      <c r="C54" t="s">
        <v>1442</v>
      </c>
      <c r="D54" t="str" cm="1">
        <f t="array" ref="D54">GetSystemFromTag(AnalogueMeasure[[#This Row],[Obj]])</f>
        <v>HVAC_SU01</v>
      </c>
      <c r="E54" t="str">
        <f>SUBSTITUTE(AnalogueMeasure[[#This Row],[RealTag]],"-","_")</f>
        <v>PT_SF1_SU01_001_F</v>
      </c>
      <c r="F54" t="str">
        <f>"_" &amp; AnalogueMeasure[[#This Row],[Obj]]</f>
        <v>_PT_SF1_SU01_001_F</v>
      </c>
      <c r="G54" t="s">
        <v>0</v>
      </c>
      <c r="H54">
        <f t="shared" ref="H54:H59" si="6">ROW()-2</f>
        <v>52</v>
      </c>
      <c r="I54" t="s">
        <v>1585</v>
      </c>
      <c r="J54" t="s">
        <v>3367</v>
      </c>
      <c r="K54" t="str">
        <f>SUBSTITUTE(HMIPATH_AnalogueMeasure,"$",AnalogueMeasure[[#This Row],[ID]])</f>
        <v>ObjAnalogueMeasure.InOut[52]</v>
      </c>
      <c r="L54" t="str">
        <f>FAnalogueMeasure(AnalogueMeasure[[#This Row],[Obj]],AnalogueMeasure[[#This Row],[System]])</f>
        <v xml:space="preserve">#PT_SF1_SU01_001_F(calculatedMeasure:="DpToFlowNozzle"(pressure:=#Unit.#PT_SF1_SU01_001.processValue, flowFactor:="HVAC_PLC_Parameters".K_Factor.PT_SF1_SU01_001),_x000D_
reset:=#Unit.AHU.Command.General_reset,
           Process:=#Unit.PT_SF1_SU01_001_F,
           InOut:=SU01,
           Parameters:="SU01"."PT_SF1_SU01_001_F".Parameters,
           Settings:="SU01"."PT_SF1_SU01_001_F".Settings);
</v>
      </c>
      <c r="M54" t="str" cm="1">
        <f t="array" ref="M54">AnaMeasureAMS(AnalogueMeasure[[#This Row],[Tag]])</f>
        <v xml:space="preserve">"AlarmWarningAMS"(Base:=#Sensor.InOut[_PT_SF1_SU01_001_F].Base,
                  ConfigAMS:=#Sensor.AMS[_PT_SF1_SU01_001_F],
                  ResultAMS:=#Unit.AMS);
</v>
      </c>
    </row>
    <row r="55" spans="1:13" x14ac:dyDescent="0.3">
      <c r="A55" t="s">
        <v>142</v>
      </c>
      <c r="B55" s="3" t="s">
        <v>1589</v>
      </c>
      <c r="C55" t="s">
        <v>1442</v>
      </c>
      <c r="D55" t="str" cm="1">
        <f t="array" ref="D55">GetSystemFromTag(AnalogueMeasure[[#This Row],[Obj]])</f>
        <v>HVAC_SU01</v>
      </c>
      <c r="E55" t="str">
        <f>SUBSTITUTE(AnalogueMeasure[[#This Row],[RealTag]],"-","_")</f>
        <v>PT_SF2_SU01_001_F</v>
      </c>
      <c r="F55" t="str">
        <f>"_" &amp; AnalogueMeasure[[#This Row],[Obj]]</f>
        <v>_PT_SF2_SU01_001_F</v>
      </c>
      <c r="G55" t="s">
        <v>0</v>
      </c>
      <c r="H55">
        <f t="shared" si="6"/>
        <v>53</v>
      </c>
      <c r="I55" t="s">
        <v>1585</v>
      </c>
      <c r="J55" t="s">
        <v>3367</v>
      </c>
      <c r="K55" t="str">
        <f>SUBSTITUTE(HMIPATH_AnalogueMeasure,"$",AnalogueMeasure[[#This Row],[ID]])</f>
        <v>ObjAnalogueMeasure.InOut[53]</v>
      </c>
      <c r="L55" t="str">
        <f>FAnalogueMeasure(AnalogueMeasure[[#This Row],[Obj]],AnalogueMeasure[[#This Row],[System]])</f>
        <v xml:space="preserve">#PT_SF2_SU01_001_F(calculatedMeasure:="DpToFlowNozzle"(pressure:=#Unit.#PT_SF2_SU01_001.processValue, flowFactor:="HVAC_PLC_Parameters".K_Factor.PT_SF2_SU01_001),_x000D_
reset:=#Unit.AHU.Command.General_reset,
           Process:=#Unit.PT_SF2_SU01_001_F,
           InOut:=SU01,
           Parameters:="SU01"."PT_SF2_SU01_001_F".Parameters,
           Settings:="SU01"."PT_SF2_SU01_001_F".Settings);
</v>
      </c>
      <c r="M55" t="str" cm="1">
        <f t="array" ref="M55">AnaMeasureAMS(AnalogueMeasure[[#This Row],[Tag]])</f>
        <v xml:space="preserve">"AlarmWarningAMS"(Base:=#Sensor.InOut[_PT_SF2_SU01_001_F].Base,
                  ConfigAMS:=#Sensor.AMS[_PT_SF2_SU01_001_F],
                  ResultAMS:=#Unit.AMS);
</v>
      </c>
    </row>
    <row r="56" spans="1:13" x14ac:dyDescent="0.3">
      <c r="A56" t="s">
        <v>142</v>
      </c>
      <c r="B56" s="3" t="s">
        <v>1590</v>
      </c>
      <c r="C56" t="s">
        <v>1442</v>
      </c>
      <c r="D56" t="str" cm="1">
        <f t="array" ref="D56">GetSystemFromTag(AnalogueMeasure[[#This Row],[Obj]])</f>
        <v>HVAC_SU01</v>
      </c>
      <c r="E56" t="str">
        <f>SUBSTITUTE(AnalogueMeasure[[#This Row],[RealTag]],"-","_")</f>
        <v>PT_EF1_SU01_001_F</v>
      </c>
      <c r="F56" t="str">
        <f>"_" &amp; AnalogueMeasure[[#This Row],[Obj]]</f>
        <v>_PT_EF1_SU01_001_F</v>
      </c>
      <c r="G56" t="s">
        <v>0</v>
      </c>
      <c r="H56">
        <f t="shared" si="6"/>
        <v>54</v>
      </c>
      <c r="I56" t="s">
        <v>1585</v>
      </c>
      <c r="J56" t="s">
        <v>3367</v>
      </c>
      <c r="K56" t="str">
        <f>SUBSTITUTE(HMIPATH_AnalogueMeasure,"$",AnalogueMeasure[[#This Row],[ID]])</f>
        <v>ObjAnalogueMeasure.InOut[54]</v>
      </c>
      <c r="L56" t="str">
        <f>FAnalogueMeasure(AnalogueMeasure[[#This Row],[Obj]],AnalogueMeasure[[#This Row],[System]])</f>
        <v xml:space="preserve">#PT_EF1_SU01_001_F(calculatedMeasure:="DpToFlowNozzle"(pressure:=#Unit.#PT_EF1_SU01_001.processValue, flowFactor:="HVAC_PLC_Parameters".K_Factor.PT_EF1_SU01_001),_x000D_
reset:=#Unit.AHU.Command.General_reset,
           Process:=#Unit.PT_EF1_SU01_001_F,
           InOut:=SU01,
           Parameters:="SU01"."PT_EF1_SU01_001_F".Parameters,
           Settings:="SU01"."PT_EF1_SU01_001_F".Settings);
</v>
      </c>
      <c r="M56" t="str" cm="1">
        <f t="array" ref="M56">AnaMeasureAMS(AnalogueMeasure[[#This Row],[Tag]])</f>
        <v xml:space="preserve">"AlarmWarningAMS"(Base:=#Sensor.InOut[_PT_EF1_SU01_001_F].Base,
                  ConfigAMS:=#Sensor.AMS[_PT_EF1_SU01_001_F],
                  ResultAMS:=#Unit.AMS);
</v>
      </c>
    </row>
    <row r="57" spans="1:13" x14ac:dyDescent="0.3">
      <c r="A57" t="s">
        <v>142</v>
      </c>
      <c r="B57" s="3" t="s">
        <v>1591</v>
      </c>
      <c r="C57" t="s">
        <v>1442</v>
      </c>
      <c r="D57" t="str" cm="1">
        <f t="array" ref="D57">GetSystemFromTag(AnalogueMeasure[[#This Row],[Obj]])</f>
        <v>HVAC_SU01</v>
      </c>
      <c r="E57" t="str">
        <f>SUBSTITUTE(AnalogueMeasure[[#This Row],[RealTag]],"-","_")</f>
        <v>PT_EF2_SU01_001_F</v>
      </c>
      <c r="F57" t="str">
        <f>"_" &amp; AnalogueMeasure[[#This Row],[Obj]]</f>
        <v>_PT_EF2_SU01_001_F</v>
      </c>
      <c r="G57" t="s">
        <v>0</v>
      </c>
      <c r="H57">
        <f t="shared" si="6"/>
        <v>55</v>
      </c>
      <c r="I57" t="s">
        <v>1585</v>
      </c>
      <c r="J57" t="s">
        <v>3367</v>
      </c>
      <c r="K57" t="str">
        <f>SUBSTITUTE(HMIPATH_AnalogueMeasure,"$",AnalogueMeasure[[#This Row],[ID]])</f>
        <v>ObjAnalogueMeasure.InOut[55]</v>
      </c>
      <c r="L57" t="str">
        <f>FAnalogueMeasure(AnalogueMeasure[[#This Row],[Obj]],AnalogueMeasure[[#This Row],[System]])</f>
        <v xml:space="preserve">#PT_EF2_SU01_001_F(calculatedMeasure:="DpToFlowNozzle"(pressure:=#Unit.#PT_EF2_SU01_001.processValue, flowFactor:="HVAC_PLC_Parameters".K_Factor.PT_EF2_SU01_001),_x000D_
reset:=#Unit.AHU.Command.General_reset,
           Process:=#Unit.PT_EF2_SU01_001_F,
           InOut:=SU01,
           Parameters:="SU01"."PT_EF2_SU01_001_F".Parameters,
           Settings:="SU01"."PT_EF2_SU01_001_F".Settings);
</v>
      </c>
      <c r="M57" t="str" cm="1">
        <f t="array" ref="M57">AnaMeasureAMS(AnalogueMeasure[[#This Row],[Tag]])</f>
        <v xml:space="preserve">"AlarmWarningAMS"(Base:=#Sensor.InOut[_PT_EF2_SU01_001_F].Base,
                  ConfigAMS:=#Sensor.AMS[_PT_EF2_SU01_001_F],
                  ResultAMS:=#Unit.AMS);
</v>
      </c>
    </row>
    <row r="58" spans="1:13" x14ac:dyDescent="0.3">
      <c r="A58" t="s">
        <v>142</v>
      </c>
      <c r="B58" s="3" t="s">
        <v>1592</v>
      </c>
      <c r="C58" t="s">
        <v>1443</v>
      </c>
      <c r="D58" t="str" cm="1">
        <f t="array" ref="D58">GetSystemFromTag(AnalogueMeasure[[#This Row],[Obj]])</f>
        <v>HVAC_SU01B</v>
      </c>
      <c r="E58" t="str">
        <f>SUBSTITUTE(AnalogueMeasure[[#This Row],[RealTag]],"-","_")</f>
        <v>PT_SF1_SU01B_001_F</v>
      </c>
      <c r="F58" t="str">
        <f>"_" &amp; AnalogueMeasure[[#This Row],[Obj]]</f>
        <v>_PT_SF1_SU01B_001_F</v>
      </c>
      <c r="G58" t="s">
        <v>0</v>
      </c>
      <c r="H58">
        <f t="shared" si="6"/>
        <v>56</v>
      </c>
      <c r="I58" t="s">
        <v>1585</v>
      </c>
      <c r="J58" t="s">
        <v>3367</v>
      </c>
      <c r="K58" t="str">
        <f>SUBSTITUTE(HMIPATH_AnalogueMeasure,"$",AnalogueMeasure[[#This Row],[ID]])</f>
        <v>ObjAnalogueMeasure.InOut[56]</v>
      </c>
      <c r="L58" t="str">
        <f>FAnalogueMeasure(AnalogueMeasure[[#This Row],[Obj]],AnalogueMeasure[[#This Row],[System]])</f>
        <v xml:space="preserve">#PT_SF1_SU01B_001_F(calculatedMeasure:="DpToFlowNozzle"(pressure:=#Unit.#PT_SF1_SU01B_001.processValue, flowFactor:="HVAC_PLC_Parameters".K_Factor.PT_SF1_SU01B_001),_x000D_
reset:=#Unit.AHU.Command.General_reset,
           Process:=#Unit.PT_SF1_SU01B_001_F,
           InOut:=SU01B,
           Parameters:="SU01B"."PT_SF1_SU01B_001_F".Parameters,
           Settings:="SU01B"."PT_SF1_SU01B_001_F".Settings);
</v>
      </c>
      <c r="M58" t="str" cm="1">
        <f t="array" ref="M58">AnaMeasureAMS(AnalogueMeasure[[#This Row],[Tag]])</f>
        <v xml:space="preserve">"AlarmWarningAMS"(Base:=#Sensor.InOut[_PT_SF1_SU01B_001_F].Base,
                  ConfigAMS:=#Sensor.AMS[_PT_SF1_SU01B_001_F],
                  ResultAMS:=#Unit.AMS);
</v>
      </c>
    </row>
    <row r="59" spans="1:13" x14ac:dyDescent="0.3">
      <c r="A59" t="s">
        <v>142</v>
      </c>
      <c r="B59" s="3" t="s">
        <v>1593</v>
      </c>
      <c r="C59" t="s">
        <v>1443</v>
      </c>
      <c r="D59" t="str" cm="1">
        <f t="array" ref="D59">GetSystemFromTag(AnalogueMeasure[[#This Row],[Obj]])</f>
        <v>HVAC_SU01B</v>
      </c>
      <c r="E59" t="str">
        <f>SUBSTITUTE(AnalogueMeasure[[#This Row],[RealTag]],"-","_")</f>
        <v>PT_EF1_SU01B_001_F</v>
      </c>
      <c r="F59" t="str">
        <f>"_" &amp; AnalogueMeasure[[#This Row],[Obj]]</f>
        <v>_PT_EF1_SU01B_001_F</v>
      </c>
      <c r="G59" t="s">
        <v>0</v>
      </c>
      <c r="H59">
        <f t="shared" si="6"/>
        <v>57</v>
      </c>
      <c r="I59" t="s">
        <v>1585</v>
      </c>
      <c r="J59" t="s">
        <v>3367</v>
      </c>
      <c r="K59" t="str">
        <f>SUBSTITUTE(HMIPATH_AnalogueMeasure,"$",AnalogueMeasure[[#This Row],[ID]])</f>
        <v>ObjAnalogueMeasure.InOut[57]</v>
      </c>
      <c r="L59" t="str">
        <f>FAnalogueMeasure(AnalogueMeasure[[#This Row],[Obj]],AnalogueMeasure[[#This Row],[System]])</f>
        <v xml:space="preserve">#PT_EF1_SU01B_001_F(calculatedMeasure:="DpToFlowNozzle"(pressure:=#Unit.#PT_EF1_SU01B_001.processValue, flowFactor:="HVAC_PLC_Parameters".K_Factor.PT_EF1_SU01B_001),_x000D_
reset:=#Unit.AHU.Command.General_reset,
           Process:=#Unit.PT_EF1_SU01B_001_F,
           InOut:=SU01B,
           Parameters:="SU01B"."PT_EF1_SU01B_001_F".Parameters,
           Settings:="SU01B"."PT_EF1_SU01B_001_F".Settings);
</v>
      </c>
      <c r="M59" t="str" cm="1">
        <f t="array" ref="M59">AnaMeasureAMS(AnalogueMeasure[[#This Row],[Tag]])</f>
        <v xml:space="preserve">"AlarmWarningAMS"(Base:=#Sensor.InOut[_PT_EF1_SU01B_001_F].Base,
                  ConfigAMS:=#Sensor.AMS[_PT_EF1_SU01B_001_F],
                  ResultAMS:=#Unit.AMS);
</v>
      </c>
    </row>
    <row r="60" spans="1:13" x14ac:dyDescent="0.3">
      <c r="A60" t="s">
        <v>142</v>
      </c>
      <c r="B60" t="s">
        <v>1594</v>
      </c>
      <c r="C60" t="s">
        <v>1442</v>
      </c>
      <c r="D60" t="str" cm="1">
        <f t="array" ref="D60">GetSystemFromTag(AnalogueMeasure[[#This Row],[Obj]])</f>
        <v>HVAC_R00103</v>
      </c>
      <c r="E60" t="str">
        <f>SUBSTITUTE(AnalogueMeasure[[#This Row],[RealTag]],"-","_")</f>
        <v>PT_FU_00103_F</v>
      </c>
      <c r="F60" t="str">
        <f>"_" &amp; AnalogueMeasure[[#This Row],[Obj]]</f>
        <v>_PT_FU_00103_F</v>
      </c>
      <c r="G60" t="s">
        <v>0</v>
      </c>
      <c r="H60">
        <f t="shared" ref="H60:H62" si="7">ROW()-2</f>
        <v>58</v>
      </c>
      <c r="I60" t="s">
        <v>1585</v>
      </c>
      <c r="J60" t="s">
        <v>3367</v>
      </c>
      <c r="K60" t="str">
        <f>SUBSTITUTE(HMIPATH_AnalogueMeasure,"$",AnalogueMeasure[[#This Row],[ID]])</f>
        <v>ObjAnalogueMeasure.InOut[58]</v>
      </c>
      <c r="L60" t="str">
        <f>FAnalogueMeasure(AnalogueMeasure[[#This Row],[Obj]],AnalogueMeasure[[#This Row],[System]])</f>
        <v xml:space="preserve">#PT_FU_00103_F(calculatedMeasure:="DpToFlowNozzle"(pressure:=#Unit.#PT_FU_00103.processValue, flowFactor:="HVAC_PLC_Parameters".K_Factor.PT_FU_00103),_x000D_
reset:=#Unit.AHU.Command.General_reset,
           Process:=#Unit.PT_FU_00103_F,
           InOut:=SU01,
           Parameters:="SU01"."PT_FU_00103_F".Parameters,
           Settings:="SU01"."PT_FU_00103_F".Settings);
</v>
      </c>
      <c r="M60" t="str" cm="1">
        <f t="array" ref="M60">AnaMeasureAMS(AnalogueMeasure[[#This Row],[Tag]])</f>
        <v xml:space="preserve">"AlarmWarningAMS"(Base:=#Sensor.InOut[_PT_FU_00103_F].Base,
                  ConfigAMS:=#Sensor.AMS[_PT_FU_00103_F],
                  ResultAMS:=#Unit.AMS);
</v>
      </c>
    </row>
    <row r="61" spans="1:13" x14ac:dyDescent="0.3">
      <c r="A61" t="s">
        <v>142</v>
      </c>
      <c r="B61" t="s">
        <v>1595</v>
      </c>
      <c r="C61" t="s">
        <v>1442</v>
      </c>
      <c r="D61" t="str" cm="1">
        <f t="array" ref="D61">GetSystemFromTag(AnalogueMeasure[[#This Row],[Obj]])</f>
        <v>HVAC_R00104</v>
      </c>
      <c r="E61" t="str">
        <f>SUBSTITUTE(AnalogueMeasure[[#This Row],[RealTag]],"-","_")</f>
        <v>PT_FU_00104_F</v>
      </c>
      <c r="F61" t="str">
        <f>"_" &amp; AnalogueMeasure[[#This Row],[Obj]]</f>
        <v>_PT_FU_00104_F</v>
      </c>
      <c r="G61" t="s">
        <v>0</v>
      </c>
      <c r="H61">
        <f t="shared" si="7"/>
        <v>59</v>
      </c>
      <c r="I61" t="s">
        <v>1585</v>
      </c>
      <c r="J61" t="s">
        <v>3367</v>
      </c>
      <c r="K61" t="str">
        <f>SUBSTITUTE(HMIPATH_AnalogueMeasure,"$",AnalogueMeasure[[#This Row],[ID]])</f>
        <v>ObjAnalogueMeasure.InOut[59]</v>
      </c>
      <c r="L61" t="str">
        <f>FAnalogueMeasure(AnalogueMeasure[[#This Row],[Obj]],AnalogueMeasure[[#This Row],[System]])</f>
        <v xml:space="preserve">#PT_FU_00104_F(calculatedMeasure:="DpToFlowNozzle"(pressure:=#Unit.#PT_FU_00104.processValue, flowFactor:="HVAC_PLC_Parameters".K_Factor.PT_FU_00104),_x000D_
reset:=#Unit.AHU.Command.General_reset,
           Process:=#Unit.PT_FU_00104_F,
           InOut:=SU01,
           Parameters:="SU01"."PT_FU_00104_F".Parameters,
           Settings:="SU01"."PT_FU_00104_F".Settings);
</v>
      </c>
      <c r="M61" t="str" cm="1">
        <f t="array" ref="M61">AnaMeasureAMS(AnalogueMeasure[[#This Row],[Tag]])</f>
        <v xml:space="preserve">"AlarmWarningAMS"(Base:=#Sensor.InOut[_PT_FU_00104_F].Base,
                  ConfigAMS:=#Sensor.AMS[_PT_FU_00104_F],
                  ResultAMS:=#Unit.AMS);
</v>
      </c>
    </row>
    <row r="62" spans="1:13" x14ac:dyDescent="0.3">
      <c r="A62" t="s">
        <v>142</v>
      </c>
      <c r="B62" t="s">
        <v>1596</v>
      </c>
      <c r="C62" t="s">
        <v>1442</v>
      </c>
      <c r="D62" t="str" cm="1">
        <f t="array" ref="D62">GetSystemFromTag(AnalogueMeasure[[#This Row],[Obj]])</f>
        <v>HVAC_R00115</v>
      </c>
      <c r="E62" t="str">
        <f>SUBSTITUTE(AnalogueMeasure[[#This Row],[RealTag]],"-","_")</f>
        <v>PT_FU_00115_F</v>
      </c>
      <c r="F62" t="str">
        <f>"_" &amp; AnalogueMeasure[[#This Row],[Obj]]</f>
        <v>_PT_FU_00115_F</v>
      </c>
      <c r="G62" t="s">
        <v>0</v>
      </c>
      <c r="H62">
        <f t="shared" si="7"/>
        <v>60</v>
      </c>
      <c r="I62" t="s">
        <v>1585</v>
      </c>
      <c r="J62" t="s">
        <v>3367</v>
      </c>
      <c r="K62" t="str">
        <f>SUBSTITUTE(HMIPATH_AnalogueMeasure,"$",AnalogueMeasure[[#This Row],[ID]])</f>
        <v>ObjAnalogueMeasure.InOut[60]</v>
      </c>
      <c r="L62" t="str">
        <f>FAnalogueMeasure(AnalogueMeasure[[#This Row],[Obj]],AnalogueMeasure[[#This Row],[System]])</f>
        <v xml:space="preserve">#PT_FU_00115_F(calculatedMeasure:="DpToFlowNozzle"(pressure:=#Unit.#PT_FU_00115.processValue, flowFactor:="HVAC_PLC_Parameters".K_Factor.PT_FU_00115),_x000D_
reset:=#Unit.AHU.Command.General_reset,
           Process:=#Unit.PT_FU_00115_F,
           InOut:=SU01,
           Parameters:="SU01"."PT_FU_00115_F".Parameters,
           Settings:="SU01"."PT_FU_00115_F".Settings);
</v>
      </c>
      <c r="M62" t="str" cm="1">
        <f t="array" ref="M62">AnaMeasureAMS(AnalogueMeasure[[#This Row],[Tag]])</f>
        <v xml:space="preserve">"AlarmWarningAMS"(Base:=#Sensor.InOut[_PT_FU_00115_F].Base,
                  ConfigAMS:=#Sensor.AMS[_PT_FU_00115_F],
                  ResultAMS:=#Unit.AMS);
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035C-78CC-435D-858E-727E3AE3BDA1}">
  <sheetPr codeName="Sheet7">
    <tabColor theme="4" tint="-0.499984740745262"/>
  </sheetPr>
  <dimension ref="A1:N32"/>
  <sheetViews>
    <sheetView workbookViewId="0">
      <selection activeCell="J2" sqref="J2:J32"/>
    </sheetView>
  </sheetViews>
  <sheetFormatPr defaultRowHeight="16.5" x14ac:dyDescent="0.3"/>
  <cols>
    <col min="1" max="1" width="17.125" bestFit="1" customWidth="1"/>
    <col min="2" max="2" width="27.75" style="3" bestFit="1" customWidth="1"/>
    <col min="3" max="3" width="9.625" bestFit="1" customWidth="1"/>
    <col min="4" max="4" width="27.75" bestFit="1" customWidth="1"/>
    <col min="5" max="5" width="28.5" bestFit="1" customWidth="1"/>
    <col min="6" max="6" width="7.375" bestFit="1" customWidth="1"/>
    <col min="7" max="7" width="5.125" bestFit="1" customWidth="1"/>
    <col min="8" max="8" width="23.625" bestFit="1" customWidth="1"/>
    <col min="9" max="9" width="21.75" customWidth="1"/>
    <col min="10" max="10" width="37.375" customWidth="1"/>
    <col min="11" max="11" width="48.25" customWidth="1"/>
    <col min="12" max="12" width="13" customWidth="1"/>
  </cols>
  <sheetData>
    <row r="1" spans="1:14" x14ac:dyDescent="0.3">
      <c r="A1" t="s">
        <v>141</v>
      </c>
      <c r="B1" t="s">
        <v>7</v>
      </c>
      <c r="C1" s="3" t="s">
        <v>132</v>
      </c>
      <c r="D1" s="3" t="s">
        <v>1609</v>
      </c>
      <c r="E1" t="s">
        <v>5</v>
      </c>
      <c r="F1" t="s">
        <v>2</v>
      </c>
      <c r="G1" t="s">
        <v>3</v>
      </c>
      <c r="H1" t="s">
        <v>4</v>
      </c>
      <c r="I1" t="s">
        <v>31</v>
      </c>
      <c r="J1" t="s">
        <v>34</v>
      </c>
      <c r="K1" t="s">
        <v>32</v>
      </c>
      <c r="L1" t="s">
        <v>33</v>
      </c>
      <c r="M1" t="s">
        <v>879</v>
      </c>
      <c r="N1" t="s">
        <v>162</v>
      </c>
    </row>
    <row r="2" spans="1:14" x14ac:dyDescent="0.3">
      <c r="A2" t="str">
        <f>"DigitalInputProcess"</f>
        <v>DigitalInputProcess</v>
      </c>
      <c r="B2" t="s">
        <v>612</v>
      </c>
      <c r="C2" s="3"/>
      <c r="D2" t="str" cm="1">
        <f t="array" ref="D2">GetSystemFromTag(DigitalInput[[#This Row],[Obj]])</f>
        <v>N/A</v>
      </c>
      <c r="E2" t="str">
        <f>SUBSTITUTE(DigitalInput[[#This Row],[RealTag]],"-","_")</f>
        <v>SPARE_DI_0</v>
      </c>
      <c r="F2" t="str">
        <f>"_" &amp; DigitalInput[[#This Row],[Obj]]</f>
        <v>_SPARE_DI_0</v>
      </c>
      <c r="G2" t="str">
        <f t="shared" ref="G2:G20" si="0">"Dint"</f>
        <v>Dint</v>
      </c>
      <c r="H2">
        <f>ROW()-2</f>
        <v>0</v>
      </c>
      <c r="I2" t="s">
        <v>1585</v>
      </c>
      <c r="J2" t="s">
        <v>3367</v>
      </c>
      <c r="K2" t="str">
        <f>SUBSTITUTE(HMIPATH_DigitalInput,"$",DigitalInput[[#This Row],[ID]])</f>
        <v>ObjDigitalInput.InOut[0]</v>
      </c>
      <c r="L2" t="str" cm="1">
        <f t="array" ref="L2">FDigitalInput(DigitalInput[[#This Row],[Obj]],DigitalInput[[#This Row],[SubSystem]])</f>
        <v/>
      </c>
      <c r="M2" t="str" cm="1">
        <f t="array" ref="M2">MUXDigitalInput(DigitalInput[[#This Row],[Obj]],DigitalInput[[#This Row],[SubSystem]])</f>
        <v/>
      </c>
      <c r="N2" t="str" cm="1">
        <f t="array" ref="N2">DigitalInputAMS(DigitalInput[[#This Row],[Tag]])</f>
        <v/>
      </c>
    </row>
    <row r="3" spans="1:14" x14ac:dyDescent="0.3">
      <c r="A3" t="str">
        <f t="shared" ref="A3:A20" si="1">"DigitalInputProcess"</f>
        <v>DigitalInputProcess</v>
      </c>
      <c r="B3" t="s">
        <v>1467</v>
      </c>
      <c r="C3" t="s">
        <v>1442</v>
      </c>
      <c r="D3" t="str" cm="1">
        <f t="array" ref="D3">GetSystemFromTag(DigitalInput[[#This Row],[Obj]])</f>
        <v>HVAC_SU01</v>
      </c>
      <c r="E3" t="str">
        <f>SUBSTITUTE(DigitalInput[[#This Row],[RealTag]],"-","_")</f>
        <v>PDS_F1_SU01_001</v>
      </c>
      <c r="F3" t="str">
        <f>"_" &amp; DigitalInput[[#This Row],[Obj]]</f>
        <v>_PDS_F1_SU01_001</v>
      </c>
      <c r="G3" t="str">
        <f t="shared" si="0"/>
        <v>Dint</v>
      </c>
      <c r="H3">
        <f t="shared" ref="H3" si="2">ROW()-2</f>
        <v>1</v>
      </c>
      <c r="I3" t="s">
        <v>1585</v>
      </c>
      <c r="J3" t="s">
        <v>3367</v>
      </c>
      <c r="K3" t="str">
        <f>SUBSTITUTE(HMIPATH_DigitalInput,"$",DigitalInput[[#This Row],[ID]])</f>
        <v>ObjDigitalInput.InOut[1]</v>
      </c>
      <c r="L3" t="str" cm="1">
        <f t="array" ref="L3">FDigitalInput(DigitalInput[[#This Row],[Obj]],DigitalInput[[#This Row],[SubSystem]])</f>
        <v xml:space="preserve">#PDS_F1_SU01_001(value:="PDS-F1-SU01-001",_x000D_
reset:=#Unit.AHU.Command.General_reset,
           Process:=#Unit.PDS_F1_SU01_001,
                       InOut:=HVAC_SU01,
                       Parameters:="HVAC_SU01"."PDS_F1_SU01_001".Parameters,
                       Settings:="HVAC_SU01"."PDS_F1_SU01_001".Settings);
</v>
      </c>
      <c r="M3" t="str" cm="1">
        <f t="array" ref="M3">MUXDigitalInput(DigitalInput[[#This Row],[Obj]],DigitalInput[[#This Row],[SubSystem]])</f>
        <v xml:space="preserve">#PDS_F1_SU01_001(Object := "HVAC_SU01".PDS_F1_SU01_001,
                InOut := "ObjDigitalInput".InOut[#_PDS_F1_SU01_001],
                Parameters:="ObjDigitalInput".Parameters[#_PDS_F1_SU01_001]);
</v>
      </c>
      <c r="N3" t="str" cm="1">
        <f t="array" ref="N3">DigitalInputAMS(DigitalInput[[#This Row],[Tag]])</f>
        <v xml:space="preserve">"AlarmWarningAMS"(Base:=#Input.InOut[_PDS_F1_SU01_001].Base,
                  ConfigAMS:=#Input.AMS[_PDS_F1_SU01_001],
                  ResultAMS:=#Unit.AMS);
</v>
      </c>
    </row>
    <row r="4" spans="1:14" x14ac:dyDescent="0.3">
      <c r="A4" t="str">
        <f t="shared" si="1"/>
        <v>DigitalInputProcess</v>
      </c>
      <c r="B4" t="s">
        <v>1468</v>
      </c>
      <c r="C4" t="s">
        <v>1442</v>
      </c>
      <c r="D4" t="str" cm="1">
        <f t="array" ref="D4">GetSystemFromTag(DigitalInput[[#This Row],[Obj]])</f>
        <v>HVAC_SU01</v>
      </c>
      <c r="E4" t="str">
        <f>SUBSTITUTE(DigitalInput[[#This Row],[RealTag]],"-","_")</f>
        <v>PSH_SU01_001</v>
      </c>
      <c r="F4" t="str">
        <f>"_" &amp; DigitalInput[[#This Row],[Obj]]</f>
        <v>_PSH_SU01_001</v>
      </c>
      <c r="G4" t="str">
        <f t="shared" si="0"/>
        <v>Dint</v>
      </c>
      <c r="H4">
        <f>ROW()-2</f>
        <v>2</v>
      </c>
      <c r="I4" t="s">
        <v>1585</v>
      </c>
      <c r="J4" t="s">
        <v>3367</v>
      </c>
      <c r="K4" t="str">
        <f>SUBSTITUTE(HMIPATH_DigitalInput,"$",DigitalInput[[#This Row],[ID]])</f>
        <v>ObjDigitalInput.InOut[2]</v>
      </c>
      <c r="L4" t="str" cm="1">
        <f t="array" ref="L4">FDigitalInput(DigitalInput[[#This Row],[Obj]],DigitalInput[[#This Row],[SubSystem]])</f>
        <v xml:space="preserve">#PSH_SU01_001(value:="PSH-SU01-001",_x000D_
reset:=#Unit.AHU.Command.General_reset,
           Process:=#Unit.PSH_SU01_001,
                       InOut:=HVAC_SU01,
                       Parameters:="HVAC_SU01"."PSH_SU01_001".Parameters,
                       Settings:="HVAC_SU01"."PSH_SU01_001".Settings);
</v>
      </c>
      <c r="M4" t="str" cm="1">
        <f t="array" ref="M4">MUXDigitalInput(DigitalInput[[#This Row],[Obj]],DigitalInput[[#This Row],[SubSystem]])</f>
        <v xml:space="preserve">#PSH_SU01_001(Object := "HVAC_SU01".PSH_SU01_001,
                InOut := "ObjDigitalInput".InOut[#_PSH_SU01_001],
                Parameters:="ObjDigitalInput".Parameters[#_PSH_SU01_001]);
</v>
      </c>
      <c r="N4" t="str" cm="1">
        <f t="array" ref="N4">DigitalInputAMS(DigitalInput[[#This Row],[Tag]])</f>
        <v xml:space="preserve">"AlarmWarningAMS"(Base:=#Input.InOut[_PSH_SU01_001].Base,
                  ConfigAMS:=#Input.AMS[_PSH_SU01_001],
                  ResultAMS:=#Unit.AMS);
</v>
      </c>
    </row>
    <row r="5" spans="1:14" x14ac:dyDescent="0.3">
      <c r="A5" t="str">
        <f t="shared" si="1"/>
        <v>DigitalInputProcess</v>
      </c>
      <c r="B5" t="s">
        <v>1469</v>
      </c>
      <c r="C5" t="s">
        <v>1443</v>
      </c>
      <c r="D5" t="str" cm="1">
        <f t="array" ref="D5">GetSystemFromTag(DigitalInput[[#This Row],[Obj]])</f>
        <v>HVAC_SU01B</v>
      </c>
      <c r="E5" t="str">
        <f>SUBSTITUTE(DigitalInput[[#This Row],[RealTag]],"-","_")</f>
        <v>PDS_F1_SU01B_001</v>
      </c>
      <c r="F5" t="str">
        <f>"_" &amp; DigitalInput[[#This Row],[Obj]]</f>
        <v>_PDS_F1_SU01B_001</v>
      </c>
      <c r="G5" t="str">
        <f t="shared" si="0"/>
        <v>Dint</v>
      </c>
      <c r="H5">
        <f t="shared" ref="H5:H9" si="3">ROW()-2</f>
        <v>3</v>
      </c>
      <c r="I5" t="s">
        <v>1585</v>
      </c>
      <c r="J5" t="s">
        <v>3367</v>
      </c>
      <c r="K5" t="str">
        <f>SUBSTITUTE(HMIPATH_DigitalInput,"$",DigitalInput[[#This Row],[ID]])</f>
        <v>ObjDigitalInput.InOut[3]</v>
      </c>
      <c r="L5" t="str" cm="1">
        <f t="array" ref="L5">FDigitalInput(DigitalInput[[#This Row],[Obj]],DigitalInput[[#This Row],[SubSystem]])</f>
        <v xml:space="preserve">#PDS_F1_SU01B_001(value:="PDS-F1-SU01B-001",_x000D_
reset:=#Unit.AHU.Command.General_reset,
           Process:=#Unit.PDS_F1_SU01B_001,
                       InOut:=HVAC_SU01B,
                       Parameters:="HVAC_SU01B"."PDS_F1_SU01B_001".Parameters,
                       Settings:="HVAC_SU01B"."PDS_F1_SU01B_001".Settings);
</v>
      </c>
      <c r="M5" t="str" cm="1">
        <f t="array" ref="M5">MUXDigitalInput(DigitalInput[[#This Row],[Obj]],DigitalInput[[#This Row],[SubSystem]])</f>
        <v xml:space="preserve">#PDS_F1_SU01B_001(Object := "HVAC_SU01B".PDS_F1_SU01B_001,
                InOut := "ObjDigitalInput".InOut[#_PDS_F1_SU01B_001],
                Parameters:="ObjDigitalInput".Parameters[#_PDS_F1_SU01B_001]);
</v>
      </c>
      <c r="N5" t="str" cm="1">
        <f t="array" ref="N5">DigitalInputAMS(DigitalInput[[#This Row],[Tag]])</f>
        <v xml:space="preserve">"AlarmWarningAMS"(Base:=#Input.InOut[_PDS_F1_SU01B_001].Base,
                  ConfigAMS:=#Input.AMS[_PDS_F1_SU01B_001],
                  ResultAMS:=#Unit.AMS);
</v>
      </c>
    </row>
    <row r="6" spans="1:14" x14ac:dyDescent="0.3">
      <c r="A6" t="str">
        <f t="shared" si="1"/>
        <v>DigitalInputProcess</v>
      </c>
      <c r="B6" t="s">
        <v>1470</v>
      </c>
      <c r="C6" t="s">
        <v>1443</v>
      </c>
      <c r="D6" t="str" cm="1">
        <f t="array" ref="D6">GetSystemFromTag(DigitalInput[[#This Row],[Obj]])</f>
        <v>HVAC_SU01B</v>
      </c>
      <c r="E6" t="str">
        <f>SUBSTITUTE(DigitalInput[[#This Row],[RealTag]],"-","_")</f>
        <v>PSH_SU01B_001</v>
      </c>
      <c r="F6" t="str">
        <f>"_" &amp; DigitalInput[[#This Row],[Obj]]</f>
        <v>_PSH_SU01B_001</v>
      </c>
      <c r="G6" t="str">
        <f t="shared" si="0"/>
        <v>Dint</v>
      </c>
      <c r="H6">
        <f t="shared" si="3"/>
        <v>4</v>
      </c>
      <c r="I6" t="s">
        <v>1585</v>
      </c>
      <c r="J6" t="s">
        <v>3367</v>
      </c>
      <c r="K6" t="str">
        <f>SUBSTITUTE(HMIPATH_DigitalInput,"$",DigitalInput[[#This Row],[ID]])</f>
        <v>ObjDigitalInput.InOut[4]</v>
      </c>
      <c r="L6" t="str" cm="1">
        <f t="array" ref="L6">FDigitalInput(DigitalInput[[#This Row],[Obj]],DigitalInput[[#This Row],[SubSystem]])</f>
        <v xml:space="preserve">#PSH_SU01B_001(value:="PSH-SU01B-001",_x000D_
reset:=#Unit.AHU.Command.General_reset,
           Process:=#Unit.PSH_SU01B_001,
                       InOut:=HVAC_SU01B,
                       Parameters:="HVAC_SU01B"."PSH_SU01B_001".Parameters,
                       Settings:="HVAC_SU01B"."PSH_SU01B_001".Settings);
</v>
      </c>
      <c r="M6" t="str" cm="1">
        <f t="array" ref="M6">MUXDigitalInput(DigitalInput[[#This Row],[Obj]],DigitalInput[[#This Row],[SubSystem]])</f>
        <v xml:space="preserve">#PSH_SU01B_001(Object := "HVAC_SU01B".PSH_SU01B_001,
                InOut := "ObjDigitalInput".InOut[#_PSH_SU01B_001],
                Parameters:="ObjDigitalInput".Parameters[#_PSH_SU01B_001]);
</v>
      </c>
      <c r="N6" t="str" cm="1">
        <f t="array" ref="N6">DigitalInputAMS(DigitalInput[[#This Row],[Tag]])</f>
        <v xml:space="preserve">"AlarmWarningAMS"(Base:=#Input.InOut[_PSH_SU01B_001].Base,
                  ConfigAMS:=#Input.AMS[_PSH_SU01B_001],
                  ResultAMS:=#Unit.AMS);
</v>
      </c>
    </row>
    <row r="7" spans="1:14" x14ac:dyDescent="0.3">
      <c r="A7" t="str">
        <f t="shared" si="1"/>
        <v>DigitalInputProcess</v>
      </c>
      <c r="B7" t="s">
        <v>978</v>
      </c>
      <c r="C7" t="s">
        <v>1442</v>
      </c>
      <c r="D7" t="str" cm="1">
        <f t="array" ref="D7">GetSystemFromTag(DigitalInput[[#This Row],[Obj]])</f>
        <v>HVAC_R00116</v>
      </c>
      <c r="E7" t="str">
        <f>SUBSTITUTE(DigitalInput[[#This Row],[RealTag]],"-","_")</f>
        <v>PSH_00116_001</v>
      </c>
      <c r="F7" t="str">
        <f>"_" &amp; DigitalInput[[#This Row],[Obj]]</f>
        <v>_PSH_00116_001</v>
      </c>
      <c r="G7" t="str">
        <f t="shared" si="0"/>
        <v>Dint</v>
      </c>
      <c r="H7">
        <f t="shared" si="3"/>
        <v>5</v>
      </c>
      <c r="I7" t="s">
        <v>1585</v>
      </c>
      <c r="J7" t="s">
        <v>3367</v>
      </c>
      <c r="K7" t="str">
        <f>SUBSTITUTE(HMIPATH_DigitalInput,"$",DigitalInput[[#This Row],[ID]])</f>
        <v>ObjDigitalInput.InOut[5]</v>
      </c>
      <c r="L7" t="str" cm="1">
        <f t="array" ref="L7">FDigitalInput(DigitalInput[[#This Row],[Obj]],DigitalInput[[#This Row],[SubSystem]])</f>
        <v xml:space="preserve">#PSH_00116_001(value:="PSH-00116-001",_x000D_
reset:=#Unit.AHU.Command.General_reset,
           Process:=#Unit.PSH_00116_001,
                       InOut:=HVAC_R00116,
                       Parameters:="HVAC_R00116"."PSH_00116_001".Parameters,
                       Settings:="HVAC_R00116"."PSH_00116_001".Settings);
</v>
      </c>
      <c r="M7" t="str" cm="1">
        <f t="array" ref="M7">MUXDigitalInput(DigitalInput[[#This Row],[Obj]],DigitalInput[[#This Row],[SubSystem]])</f>
        <v xml:space="preserve">#PSH_00116_001(Object := "HVAC_R00116".PSH_00116_001,
                InOut := "ObjDigitalInput".InOut[#_PSH_00116_001],
                Parameters:="ObjDigitalInput".Parameters[#_PSH_00116_001]);
</v>
      </c>
      <c r="N7" t="str" cm="1">
        <f t="array" ref="N7">DigitalInputAMS(DigitalInput[[#This Row],[Tag]])</f>
        <v xml:space="preserve">"AlarmWarningAMS"(Base:=#Input.InOut[_PSH_00116_001].Base,
                  ConfigAMS:=#Input.AMS[_PSH_00116_001],
                  ResultAMS:=#Unit.AMS);
</v>
      </c>
    </row>
    <row r="8" spans="1:14" x14ac:dyDescent="0.3">
      <c r="A8" t="str">
        <f t="shared" si="1"/>
        <v>DigitalInputProcess</v>
      </c>
      <c r="B8" t="s">
        <v>979</v>
      </c>
      <c r="C8" t="s">
        <v>1442</v>
      </c>
      <c r="D8" t="str" cm="1">
        <f t="array" ref="D8">GetSystemFromTag(DigitalInput[[#This Row],[Obj]])</f>
        <v>HVAC_R00116</v>
      </c>
      <c r="E8" t="str">
        <f>SUBSTITUTE(DigitalInput[[#This Row],[RealTag]],"-","_")</f>
        <v>PSL_00116_001</v>
      </c>
      <c r="F8" t="str">
        <f>"_" &amp; DigitalInput[[#This Row],[Obj]]</f>
        <v>_PSL_00116_001</v>
      </c>
      <c r="G8" t="str">
        <f t="shared" si="0"/>
        <v>Dint</v>
      </c>
      <c r="H8">
        <f t="shared" si="3"/>
        <v>6</v>
      </c>
      <c r="I8" t="s">
        <v>1585</v>
      </c>
      <c r="J8" t="s">
        <v>3367</v>
      </c>
      <c r="K8" t="str">
        <f>SUBSTITUTE(HMIPATH_DigitalInput,"$",DigitalInput[[#This Row],[ID]])</f>
        <v>ObjDigitalInput.InOut[6]</v>
      </c>
      <c r="L8" t="str" cm="1">
        <f t="array" ref="L8">FDigitalInput(DigitalInput[[#This Row],[Obj]],DigitalInput[[#This Row],[SubSystem]])</f>
        <v xml:space="preserve">#PSL_00116_001(value:="PSL-00116-001",_x000D_
reset:=#Unit.AHU.Command.General_reset,
           Process:=#Unit.PSL_00116_001,
                       InOut:=HVAC_R00116,
                       Parameters:="HVAC_R00116"."PSL_00116_001".Parameters,
                       Settings:="HVAC_R00116"."PSL_00116_001".Settings);
</v>
      </c>
      <c r="M8" t="str" cm="1">
        <f t="array" ref="M8">MUXDigitalInput(DigitalInput[[#This Row],[Obj]],DigitalInput[[#This Row],[SubSystem]])</f>
        <v xml:space="preserve">#PSL_00116_001(Object := "HVAC_R00116".PSL_00116_001,
                InOut := "ObjDigitalInput".InOut[#_PSL_00116_001],
                Parameters:="ObjDigitalInput".Parameters[#_PSL_00116_001]);
</v>
      </c>
      <c r="N8" t="str" cm="1">
        <f t="array" ref="N8">DigitalInputAMS(DigitalInput[[#This Row],[Tag]])</f>
        <v xml:space="preserve">"AlarmWarningAMS"(Base:=#Input.InOut[_PSL_00116_001].Base,
                  ConfigAMS:=#Input.AMS[_PSL_00116_001],
                  ResultAMS:=#Unit.AMS);
</v>
      </c>
    </row>
    <row r="9" spans="1:14" x14ac:dyDescent="0.3">
      <c r="A9" t="str">
        <f t="shared" si="1"/>
        <v>DigitalInputProcess</v>
      </c>
      <c r="B9" t="s">
        <v>980</v>
      </c>
      <c r="C9" t="s">
        <v>1443</v>
      </c>
      <c r="D9" t="str" cm="1">
        <f t="array" ref="D9">GetSystemFromTag(DigitalInput[[#This Row],[Obj]])</f>
        <v>HVAC_R00112</v>
      </c>
      <c r="E9" t="str">
        <f>SUBSTITUTE(DigitalInput[[#This Row],[RealTag]],"-","_")</f>
        <v>PSH_00112_001</v>
      </c>
      <c r="F9" t="str">
        <f>"_" &amp; DigitalInput[[#This Row],[Obj]]</f>
        <v>_PSH_00112_001</v>
      </c>
      <c r="G9" t="str">
        <f t="shared" si="0"/>
        <v>Dint</v>
      </c>
      <c r="H9">
        <f t="shared" si="3"/>
        <v>7</v>
      </c>
      <c r="I9" t="s">
        <v>1585</v>
      </c>
      <c r="J9" t="s">
        <v>3367</v>
      </c>
      <c r="K9" t="str">
        <f>SUBSTITUTE(HMIPATH_DigitalInput,"$",DigitalInput[[#This Row],[ID]])</f>
        <v>ObjDigitalInput.InOut[7]</v>
      </c>
      <c r="L9" t="str" cm="1">
        <f t="array" ref="L9">FDigitalInput(DigitalInput[[#This Row],[Obj]],DigitalInput[[#This Row],[SubSystem]])</f>
        <v xml:space="preserve">#PSH_00112_001(value:="PSH-00112-001",_x000D_
reset:=#Unit.AHU.Command.General_reset,
           Process:=#Unit.PSH_00112_001,
                       InOut:=HVAC_R00112,
                       Parameters:="HVAC_R00112"."PSH_00112_001".Parameters,
                       Settings:="HVAC_R00112"."PSH_00112_001".Settings);
</v>
      </c>
      <c r="M9" t="str" cm="1">
        <f t="array" ref="M9">MUXDigitalInput(DigitalInput[[#This Row],[Obj]],DigitalInput[[#This Row],[SubSystem]])</f>
        <v xml:space="preserve">#PSH_00112_001(Object := "HVAC_R00112".PSH_00112_001,
                InOut := "ObjDigitalInput".InOut[#_PSH_00112_001],
                Parameters:="ObjDigitalInput".Parameters[#_PSH_00112_001]);
</v>
      </c>
      <c r="N9" t="str" cm="1">
        <f t="array" ref="N9">DigitalInputAMS(DigitalInput[[#This Row],[Tag]])</f>
        <v xml:space="preserve">"AlarmWarningAMS"(Base:=#Input.InOut[_PSH_00112_001].Base,
                  ConfigAMS:=#Input.AMS[_PSH_00112_001],
                  ResultAMS:=#Unit.AMS);
</v>
      </c>
    </row>
    <row r="10" spans="1:14" x14ac:dyDescent="0.3">
      <c r="A10" t="str">
        <f t="shared" si="1"/>
        <v>DigitalInputProcess</v>
      </c>
      <c r="B10" t="s">
        <v>981</v>
      </c>
      <c r="C10" t="s">
        <v>1443</v>
      </c>
      <c r="D10" t="str" cm="1">
        <f t="array" ref="D10">GetSystemFromTag(DigitalInput[[#This Row],[Obj]])</f>
        <v>HVAC_R00112</v>
      </c>
      <c r="E10" t="str">
        <f>SUBSTITUTE(DigitalInput[[#This Row],[RealTag]],"-","_")</f>
        <v>PSL_00112_001</v>
      </c>
      <c r="F10" t="str">
        <f>"_" &amp; DigitalInput[[#This Row],[Obj]]</f>
        <v>_PSL_00112_001</v>
      </c>
      <c r="G10" t="str">
        <f t="shared" si="0"/>
        <v>Dint</v>
      </c>
      <c r="H10">
        <f>ROW()-2</f>
        <v>8</v>
      </c>
      <c r="I10" t="s">
        <v>1585</v>
      </c>
      <c r="J10" t="s">
        <v>3367</v>
      </c>
      <c r="K10" t="str">
        <f>SUBSTITUTE(HMIPATH_DigitalInput,"$",DigitalInput[[#This Row],[ID]])</f>
        <v>ObjDigitalInput.InOut[8]</v>
      </c>
      <c r="L10" t="str" cm="1">
        <f t="array" ref="L10">FDigitalInput(DigitalInput[[#This Row],[Obj]],DigitalInput[[#This Row],[SubSystem]])</f>
        <v xml:space="preserve">#PSL_00112_001(value:="PSL-00112-001",_x000D_
reset:=#Unit.AHU.Command.General_reset,
           Process:=#Unit.PSL_00112_001,
                       InOut:=HVAC_R00112,
                       Parameters:="HVAC_R00112"."PSL_00112_001".Parameters,
                       Settings:="HVAC_R00112"."PSL_00112_001".Settings);
</v>
      </c>
      <c r="M10" t="str" cm="1">
        <f t="array" ref="M10">MUXDigitalInput(DigitalInput[[#This Row],[Obj]],DigitalInput[[#This Row],[SubSystem]])</f>
        <v xml:space="preserve">#PSL_00112_001(Object := "HVAC_R00112".PSL_00112_001,
                InOut := "ObjDigitalInput".InOut[#_PSL_00112_001],
                Parameters:="ObjDigitalInput".Parameters[#_PSL_00112_001]);
</v>
      </c>
      <c r="N10" t="str" cm="1">
        <f t="array" ref="N10">DigitalInputAMS(DigitalInput[[#This Row],[Tag]])</f>
        <v xml:space="preserve">"AlarmWarningAMS"(Base:=#Input.InOut[_PSL_00112_001].Base,
                  ConfigAMS:=#Input.AMS[_PSL_00112_001],
                  ResultAMS:=#Unit.AMS);
</v>
      </c>
    </row>
    <row r="11" spans="1:14" x14ac:dyDescent="0.3">
      <c r="A11" t="str">
        <f t="shared" si="1"/>
        <v>DigitalInputProcess</v>
      </c>
      <c r="B11" t="s">
        <v>1471</v>
      </c>
      <c r="C11" t="s">
        <v>1442</v>
      </c>
      <c r="D11" t="str" cm="1">
        <f t="array" ref="D11">GetSystemFromTag(DigitalInput[[#This Row],[Obj]])</f>
        <v>HVAC_SU01</v>
      </c>
      <c r="E11" t="str">
        <f>SUBSTITUTE(DigitalInput[[#This Row],[RealTag]],"-","_")</f>
        <v>LS_SU01_001</v>
      </c>
      <c r="F11" t="str">
        <f>"_" &amp; DigitalInput[[#This Row],[Obj]]</f>
        <v>_LS_SU01_001</v>
      </c>
      <c r="G11" t="str">
        <f t="shared" si="0"/>
        <v>Dint</v>
      </c>
      <c r="H11">
        <f t="shared" ref="H11:H20" si="4">ROW()-2</f>
        <v>9</v>
      </c>
      <c r="I11" t="s">
        <v>1585</v>
      </c>
      <c r="J11" t="s">
        <v>3367</v>
      </c>
      <c r="K11" t="str">
        <f>SUBSTITUTE(HMIPATH_DigitalInput,"$",DigitalInput[[#This Row],[ID]])</f>
        <v>ObjDigitalInput.InOut[9]</v>
      </c>
      <c r="L11" t="str" cm="1">
        <f t="array" ref="L11">FDigitalInput(DigitalInput[[#This Row],[Obj]],DigitalInput[[#This Row],[SubSystem]])</f>
        <v xml:space="preserve">#LS_SU01_001(value:="LS-SU01-001",_x000D_
reset:=#Unit.AHU.Command.General_reset,
           Process:=#Unit.LS_SU01_001,
                       InOut:=HVAC_SU01,
                       Parameters:="HVAC_SU01"."LS_SU01_001".Parameters,
                       Settings:="HVAC_SU01"."LS_SU01_001".Settings);
</v>
      </c>
      <c r="M11" t="str" cm="1">
        <f t="array" ref="M11">MUXDigitalInput(DigitalInput[[#This Row],[Obj]],DigitalInput[[#This Row],[SubSystem]])</f>
        <v xml:space="preserve">#LS_SU01_001(Object := "HVAC_SU01".LS_SU01_001,
                InOut := "ObjDigitalInput".InOut[#_LS_SU01_001],
                Parameters:="ObjDigitalInput".Parameters[#_LS_SU01_001]);
</v>
      </c>
      <c r="N11" t="str" cm="1">
        <f t="array" ref="N11">DigitalInputAMS(DigitalInput[[#This Row],[Tag]])</f>
        <v xml:space="preserve">"AlarmWarningAMS"(Base:=#Input.InOut[_LS_SU01_001].Base,
                  ConfigAMS:=#Input.AMS[_LS_SU01_001],
                  ResultAMS:=#Unit.AMS);
</v>
      </c>
    </row>
    <row r="12" spans="1:14" x14ac:dyDescent="0.3">
      <c r="A12" t="str">
        <f t="shared" si="1"/>
        <v>DigitalInputProcess</v>
      </c>
      <c r="B12" t="s">
        <v>983</v>
      </c>
      <c r="C12" t="s">
        <v>1442</v>
      </c>
      <c r="D12" t="str" cm="1">
        <f t="array" ref="D12">GetSystemFromTag(DigitalInput[[#This Row],[Obj]])</f>
        <v>HVAC_R00103</v>
      </c>
      <c r="E12" t="str">
        <f>SUBSTITUTE(DigitalInput[[#This Row],[RealTag]],"-","_")</f>
        <v>LS_CC_00103</v>
      </c>
      <c r="F12" t="str">
        <f>"_" &amp; DigitalInput[[#This Row],[Obj]]</f>
        <v>_LS_CC_00103</v>
      </c>
      <c r="G12" t="str">
        <f t="shared" si="0"/>
        <v>Dint</v>
      </c>
      <c r="H12">
        <f t="shared" si="4"/>
        <v>10</v>
      </c>
      <c r="I12" t="s">
        <v>1585</v>
      </c>
      <c r="J12" t="s">
        <v>3367</v>
      </c>
      <c r="K12" t="str">
        <f>SUBSTITUTE(HMIPATH_DigitalInput,"$",DigitalInput[[#This Row],[ID]])</f>
        <v>ObjDigitalInput.InOut[10]</v>
      </c>
      <c r="L12" t="str" cm="1">
        <f t="array" ref="L12">FDigitalInput(DigitalInput[[#This Row],[Obj]],DigitalInput[[#This Row],[SubSystem]])</f>
        <v xml:space="preserve">#LS_CC_00103(value:="LS-CC-00103",_x000D_
reset:=#Unit.AHU.Command.General_reset,
           Process:=#Unit.LS_CC_00103,
                       InOut:=HVAC_R00103,
                       Parameters:="HVAC_R00103"."LS_CC_00103".Parameters,
                       Settings:="HVAC_R00103"."LS_CC_00103".Settings);
</v>
      </c>
      <c r="M12" t="str" cm="1">
        <f t="array" ref="M12">MUXDigitalInput(DigitalInput[[#This Row],[Obj]],DigitalInput[[#This Row],[SubSystem]])</f>
        <v xml:space="preserve">#LS_CC_00103(Object := "HVAC_R00103".LS_CC_00103,
                InOut := "ObjDigitalInput".InOut[#_LS_CC_00103],
                Parameters:="ObjDigitalInput".Parameters[#_LS_CC_00103]);
</v>
      </c>
      <c r="N12" t="str" cm="1">
        <f t="array" ref="N12">DigitalInputAMS(DigitalInput[[#This Row],[Tag]])</f>
        <v xml:space="preserve">"AlarmWarningAMS"(Base:=#Input.InOut[_LS_CC_00103].Base,
                  ConfigAMS:=#Input.AMS[_LS_CC_00103],
                  ResultAMS:=#Unit.AMS);
</v>
      </c>
    </row>
    <row r="13" spans="1:14" x14ac:dyDescent="0.3">
      <c r="A13" t="str">
        <f t="shared" si="1"/>
        <v>DigitalInputProcess</v>
      </c>
      <c r="B13" t="s">
        <v>985</v>
      </c>
      <c r="C13" t="s">
        <v>1442</v>
      </c>
      <c r="D13" t="str" cm="1">
        <f t="array" ref="D13">GetSystemFromTag(DigitalInput[[#This Row],[Obj]])</f>
        <v>HVAC_R00104</v>
      </c>
      <c r="E13" t="str">
        <f>SUBSTITUTE(DigitalInput[[#This Row],[RealTag]],"-","_")</f>
        <v>LS_CC_00104</v>
      </c>
      <c r="F13" t="str">
        <f>"_" &amp; DigitalInput[[#This Row],[Obj]]</f>
        <v>_LS_CC_00104</v>
      </c>
      <c r="G13" t="str">
        <f t="shared" si="0"/>
        <v>Dint</v>
      </c>
      <c r="H13">
        <f t="shared" si="4"/>
        <v>11</v>
      </c>
      <c r="I13" t="s">
        <v>1585</v>
      </c>
      <c r="J13" t="s">
        <v>3367</v>
      </c>
      <c r="K13" t="str">
        <f>SUBSTITUTE(HMIPATH_DigitalInput,"$",DigitalInput[[#This Row],[ID]])</f>
        <v>ObjDigitalInput.InOut[11]</v>
      </c>
      <c r="L13" t="str" cm="1">
        <f t="array" ref="L13">FDigitalInput(DigitalInput[[#This Row],[Obj]],DigitalInput[[#This Row],[SubSystem]])</f>
        <v xml:space="preserve">#LS_CC_00104(value:="LS-CC-00104",_x000D_
reset:=#Unit.AHU.Command.General_reset,
           Process:=#Unit.LS_CC_00104,
                       InOut:=HVAC_R00104,
                       Parameters:="HVAC_R00104"."LS_CC_00104".Parameters,
                       Settings:="HVAC_R00104"."LS_CC_00104".Settings);
</v>
      </c>
      <c r="M13" t="str" cm="1">
        <f t="array" ref="M13">MUXDigitalInput(DigitalInput[[#This Row],[Obj]],DigitalInput[[#This Row],[SubSystem]])</f>
        <v xml:space="preserve">#LS_CC_00104(Object := "HVAC_R00104".LS_CC_00104,
                InOut := "ObjDigitalInput".InOut[#_LS_CC_00104],
                Parameters:="ObjDigitalInput".Parameters[#_LS_CC_00104]);
</v>
      </c>
      <c r="N13" t="str" cm="1">
        <f t="array" ref="N13">DigitalInputAMS(DigitalInput[[#This Row],[Tag]])</f>
        <v xml:space="preserve">"AlarmWarningAMS"(Base:=#Input.InOut[_LS_CC_00104].Base,
                  ConfigAMS:=#Input.AMS[_LS_CC_00104],
                  ResultAMS:=#Unit.AMS);
</v>
      </c>
    </row>
    <row r="14" spans="1:14" x14ac:dyDescent="0.3">
      <c r="A14" t="str">
        <f t="shared" si="1"/>
        <v>DigitalInputProcess</v>
      </c>
      <c r="B14" t="s">
        <v>986</v>
      </c>
      <c r="C14" t="s">
        <v>1442</v>
      </c>
      <c r="D14" t="str" cm="1">
        <f t="array" ref="D14">GetSystemFromTag(DigitalInput[[#This Row],[Obj]])</f>
        <v>HVAC_R00115</v>
      </c>
      <c r="E14" t="str">
        <f>SUBSTITUTE(DigitalInput[[#This Row],[RealTag]],"-","_")</f>
        <v>LS_CC_00115</v>
      </c>
      <c r="F14" t="str">
        <f>"_" &amp; DigitalInput[[#This Row],[Obj]]</f>
        <v>_LS_CC_00115</v>
      </c>
      <c r="G14" t="str">
        <f t="shared" si="0"/>
        <v>Dint</v>
      </c>
      <c r="H14">
        <f t="shared" si="4"/>
        <v>12</v>
      </c>
      <c r="I14" t="s">
        <v>1585</v>
      </c>
      <c r="J14" t="s">
        <v>3367</v>
      </c>
      <c r="K14" t="str">
        <f>SUBSTITUTE(HMIPATH_DigitalInput,"$",DigitalInput[[#This Row],[ID]])</f>
        <v>ObjDigitalInput.InOut[12]</v>
      </c>
      <c r="L14" t="str" cm="1">
        <f t="array" ref="L14">FDigitalInput(DigitalInput[[#This Row],[Obj]],DigitalInput[[#This Row],[SubSystem]])</f>
        <v xml:space="preserve">#LS_CC_00115(value:="LS-CC-00115",_x000D_
reset:=#Unit.AHU.Command.General_reset,
           Process:=#Unit.LS_CC_00115,
                       InOut:=HVAC_R00115,
                       Parameters:="HVAC_R00115"."LS_CC_00115".Parameters,
                       Settings:="HVAC_R00115"."LS_CC_00115".Settings);
</v>
      </c>
      <c r="M14" t="str" cm="1">
        <f t="array" ref="M14">MUXDigitalInput(DigitalInput[[#This Row],[Obj]],DigitalInput[[#This Row],[SubSystem]])</f>
        <v xml:space="preserve">#LS_CC_00115(Object := "HVAC_R00115".LS_CC_00115,
                InOut := "ObjDigitalInput".InOut[#_LS_CC_00115],
                Parameters:="ObjDigitalInput".Parameters[#_LS_CC_00115]);
</v>
      </c>
      <c r="N14" t="str" cm="1">
        <f t="array" ref="N14">DigitalInputAMS(DigitalInput[[#This Row],[Tag]])</f>
        <v xml:space="preserve">"AlarmWarningAMS"(Base:=#Input.InOut[_LS_CC_00115].Base,
                  ConfigAMS:=#Input.AMS[_LS_CC_00115],
                  ResultAMS:=#Unit.AMS);
</v>
      </c>
    </row>
    <row r="15" spans="1:14" x14ac:dyDescent="0.3">
      <c r="A15" t="str">
        <f t="shared" si="1"/>
        <v>DigitalInputProcess</v>
      </c>
      <c r="B15" t="s">
        <v>987</v>
      </c>
      <c r="C15" t="s">
        <v>1442</v>
      </c>
      <c r="D15" t="str" cm="1">
        <f t="array" ref="D15">GetSystemFromTag(DigitalInput[[#This Row],[Obj]])</f>
        <v>HVAC_R00106</v>
      </c>
      <c r="E15" t="str">
        <f>SUBSTITUTE(DigitalInput[[#This Row],[RealTag]],"-","_")</f>
        <v>LS_CC_00106</v>
      </c>
      <c r="F15" t="str">
        <f>"_" &amp; DigitalInput[[#This Row],[Obj]]</f>
        <v>_LS_CC_00106</v>
      </c>
      <c r="G15" t="str">
        <f t="shared" si="0"/>
        <v>Dint</v>
      </c>
      <c r="H15">
        <f t="shared" si="4"/>
        <v>13</v>
      </c>
      <c r="I15" t="s">
        <v>1585</v>
      </c>
      <c r="J15" t="s">
        <v>3367</v>
      </c>
      <c r="K15" t="str">
        <f>SUBSTITUTE(HMIPATH_DigitalInput,"$",DigitalInput[[#This Row],[ID]])</f>
        <v>ObjDigitalInput.InOut[13]</v>
      </c>
      <c r="L15" t="str" cm="1">
        <f t="array" ref="L15">FDigitalInput(DigitalInput[[#This Row],[Obj]],DigitalInput[[#This Row],[SubSystem]])</f>
        <v xml:space="preserve">#LS_CC_00106(value:="LS-CC-00106",_x000D_
reset:=#Unit.AHU.Command.General_reset,
           Process:=#Unit.LS_CC_00106,
                       InOut:=HVAC_R00106,
                       Parameters:="HVAC_R00106"."LS_CC_00106".Parameters,
                       Settings:="HVAC_R00106"."LS_CC_00106".Settings);
</v>
      </c>
      <c r="M15" t="str" cm="1">
        <f t="array" ref="M15">MUXDigitalInput(DigitalInput[[#This Row],[Obj]],DigitalInput[[#This Row],[SubSystem]])</f>
        <v xml:space="preserve">#LS_CC_00106(Object := "HVAC_R00106".LS_CC_00106,
                InOut := "ObjDigitalInput".InOut[#_LS_CC_00106],
                Parameters:="ObjDigitalInput".Parameters[#_LS_CC_00106]);
</v>
      </c>
      <c r="N15" t="str" cm="1">
        <f t="array" ref="N15">DigitalInputAMS(DigitalInput[[#This Row],[Tag]])</f>
        <v xml:space="preserve">"AlarmWarningAMS"(Base:=#Input.InOut[_LS_CC_00106].Base,
                  ConfigAMS:=#Input.AMS[_LS_CC_00106],
                  ResultAMS:=#Unit.AMS);
</v>
      </c>
    </row>
    <row r="16" spans="1:14" x14ac:dyDescent="0.3">
      <c r="A16" t="str">
        <f t="shared" si="1"/>
        <v>DigitalInputProcess</v>
      </c>
      <c r="B16" t="s">
        <v>989</v>
      </c>
      <c r="C16" t="s">
        <v>1442</v>
      </c>
      <c r="D16" t="str" cm="1">
        <f t="array" ref="D16">GetSystemFromTag(DigitalInput[[#This Row],[Obj]])</f>
        <v>HVAC_R00107</v>
      </c>
      <c r="E16" t="str">
        <f>SUBSTITUTE(DigitalInput[[#This Row],[RealTag]],"-","_")</f>
        <v>LS_CC_00107</v>
      </c>
      <c r="F16" t="str">
        <f>"_" &amp; DigitalInput[[#This Row],[Obj]]</f>
        <v>_LS_CC_00107</v>
      </c>
      <c r="G16" t="str">
        <f t="shared" si="0"/>
        <v>Dint</v>
      </c>
      <c r="H16">
        <f t="shared" si="4"/>
        <v>14</v>
      </c>
      <c r="I16" t="s">
        <v>1585</v>
      </c>
      <c r="J16" t="s">
        <v>3367</v>
      </c>
      <c r="K16" t="str">
        <f>SUBSTITUTE(HMIPATH_DigitalInput,"$",DigitalInput[[#This Row],[ID]])</f>
        <v>ObjDigitalInput.InOut[14]</v>
      </c>
      <c r="L16" t="str" cm="1">
        <f t="array" ref="L16">FDigitalInput(DigitalInput[[#This Row],[Obj]],DigitalInput[[#This Row],[SubSystem]])</f>
        <v xml:space="preserve">#LS_CC_00107(value:="LS-CC-00107",_x000D_
reset:=#Unit.AHU.Command.General_reset,
           Process:=#Unit.LS_CC_00107,
                       InOut:=HVAC_R00107,
                       Parameters:="HVAC_R00107"."LS_CC_00107".Parameters,
                       Settings:="HVAC_R00107"."LS_CC_00107".Settings);
</v>
      </c>
      <c r="M16" t="str" cm="1">
        <f t="array" ref="M16">MUXDigitalInput(DigitalInput[[#This Row],[Obj]],DigitalInput[[#This Row],[SubSystem]])</f>
        <v xml:space="preserve">#LS_CC_00107(Object := "HVAC_R00107".LS_CC_00107,
                InOut := "ObjDigitalInput".InOut[#_LS_CC_00107],
                Parameters:="ObjDigitalInput".Parameters[#_LS_CC_00107]);
</v>
      </c>
      <c r="N16" t="str" cm="1">
        <f t="array" ref="N16">DigitalInputAMS(DigitalInput[[#This Row],[Tag]])</f>
        <v xml:space="preserve">"AlarmWarningAMS"(Base:=#Input.InOut[_LS_CC_00107].Base,
                  ConfigAMS:=#Input.AMS[_LS_CC_00107],
                  ResultAMS:=#Unit.AMS);
</v>
      </c>
    </row>
    <row r="17" spans="1:14" x14ac:dyDescent="0.3">
      <c r="A17" t="str">
        <f t="shared" si="1"/>
        <v>DigitalInputProcess</v>
      </c>
      <c r="B17" t="s">
        <v>991</v>
      </c>
      <c r="C17" t="s">
        <v>1442</v>
      </c>
      <c r="D17" t="str" cm="1">
        <f t="array" ref="D17">GetSystemFromTag(DigitalInput[[#This Row],[Obj]])</f>
        <v>HVAC_R00108</v>
      </c>
      <c r="E17" t="str">
        <f>SUBSTITUTE(DigitalInput[[#This Row],[RealTag]],"-","_")</f>
        <v>LS_CC_00108</v>
      </c>
      <c r="F17" t="str">
        <f>"_" &amp; DigitalInput[[#This Row],[Obj]]</f>
        <v>_LS_CC_00108</v>
      </c>
      <c r="G17" t="str">
        <f t="shared" si="0"/>
        <v>Dint</v>
      </c>
      <c r="H17">
        <f t="shared" si="4"/>
        <v>15</v>
      </c>
      <c r="I17" t="s">
        <v>1585</v>
      </c>
      <c r="J17" t="s">
        <v>3367</v>
      </c>
      <c r="K17" t="str">
        <f>SUBSTITUTE(HMIPATH_DigitalInput,"$",DigitalInput[[#This Row],[ID]])</f>
        <v>ObjDigitalInput.InOut[15]</v>
      </c>
      <c r="L17" t="str" cm="1">
        <f t="array" ref="L17">FDigitalInput(DigitalInput[[#This Row],[Obj]],DigitalInput[[#This Row],[SubSystem]])</f>
        <v xml:space="preserve">#LS_CC_00108(value:="LS-CC-00108",_x000D_
reset:=#Unit.AHU.Command.General_reset,
           Process:=#Unit.LS_CC_00108,
                       InOut:=HVAC_R00108,
                       Parameters:="HVAC_R00108"."LS_CC_00108".Parameters,
                       Settings:="HVAC_R00108"."LS_CC_00108".Settings);
</v>
      </c>
      <c r="M17" t="str" cm="1">
        <f t="array" ref="M17">MUXDigitalInput(DigitalInput[[#This Row],[Obj]],DigitalInput[[#This Row],[SubSystem]])</f>
        <v xml:space="preserve">#LS_CC_00108(Object := "HVAC_R00108".LS_CC_00108,
                InOut := "ObjDigitalInput".InOut[#_LS_CC_00108],
                Parameters:="ObjDigitalInput".Parameters[#_LS_CC_00108]);
</v>
      </c>
      <c r="N17" t="str" cm="1">
        <f t="array" ref="N17">DigitalInputAMS(DigitalInput[[#This Row],[Tag]])</f>
        <v xml:space="preserve">"AlarmWarningAMS"(Base:=#Input.InOut[_LS_CC_00108].Base,
                  ConfigAMS:=#Input.AMS[_LS_CC_00108],
                  ResultAMS:=#Unit.AMS);
</v>
      </c>
    </row>
    <row r="18" spans="1:14" x14ac:dyDescent="0.3">
      <c r="A18" t="str">
        <f t="shared" si="1"/>
        <v>DigitalInputProcess</v>
      </c>
      <c r="B18" t="s">
        <v>993</v>
      </c>
      <c r="C18" t="s">
        <v>1442</v>
      </c>
      <c r="D18" t="str" cm="1">
        <f t="array" ref="D18">GetSystemFromTag(DigitalInput[[#This Row],[Obj]])</f>
        <v>HVAC_R00109</v>
      </c>
      <c r="E18" t="str">
        <f>SUBSTITUTE(DigitalInput[[#This Row],[RealTag]],"-","_")</f>
        <v>LS_CC_00109</v>
      </c>
      <c r="F18" t="str">
        <f>"_" &amp; DigitalInput[[#This Row],[Obj]]</f>
        <v>_LS_CC_00109</v>
      </c>
      <c r="G18" t="str">
        <f t="shared" si="0"/>
        <v>Dint</v>
      </c>
      <c r="H18">
        <f t="shared" si="4"/>
        <v>16</v>
      </c>
      <c r="I18" t="s">
        <v>1585</v>
      </c>
      <c r="J18" t="s">
        <v>3367</v>
      </c>
      <c r="K18" t="str">
        <f>SUBSTITUTE(HMIPATH_DigitalInput,"$",DigitalInput[[#This Row],[ID]])</f>
        <v>ObjDigitalInput.InOut[16]</v>
      </c>
      <c r="L18" t="str" cm="1">
        <f t="array" ref="L18">FDigitalInput(DigitalInput[[#This Row],[Obj]],DigitalInput[[#This Row],[SubSystem]])</f>
        <v xml:space="preserve">#LS_CC_00109(value:="LS-CC-00109",_x000D_
reset:=#Unit.AHU.Command.General_reset,
           Process:=#Unit.LS_CC_00109,
                       InOut:=HVAC_R00109,
                       Parameters:="HVAC_R00109"."LS_CC_00109".Parameters,
                       Settings:="HVAC_R00109"."LS_CC_00109".Settings);
</v>
      </c>
      <c r="M18" t="str" cm="1">
        <f t="array" ref="M18">MUXDigitalInput(DigitalInput[[#This Row],[Obj]],DigitalInput[[#This Row],[SubSystem]])</f>
        <v xml:space="preserve">#LS_CC_00109(Object := "HVAC_R00109".LS_CC_00109,
                InOut := "ObjDigitalInput".InOut[#_LS_CC_00109],
                Parameters:="ObjDigitalInput".Parameters[#_LS_CC_00109]);
</v>
      </c>
      <c r="N18" t="str" cm="1">
        <f t="array" ref="N18">DigitalInputAMS(DigitalInput[[#This Row],[Tag]])</f>
        <v xml:space="preserve">"AlarmWarningAMS"(Base:=#Input.InOut[_LS_CC_00109].Base,
                  ConfigAMS:=#Input.AMS[_LS_CC_00109],
                  ResultAMS:=#Unit.AMS);
</v>
      </c>
    </row>
    <row r="19" spans="1:14" x14ac:dyDescent="0.3">
      <c r="A19" t="str">
        <f t="shared" si="1"/>
        <v>DigitalInputProcess</v>
      </c>
      <c r="B19" t="s">
        <v>995</v>
      </c>
      <c r="C19" t="s">
        <v>1442</v>
      </c>
      <c r="D19" t="str" cm="1">
        <f t="array" ref="D19">GetSystemFromTag(DigitalInput[[#This Row],[Obj]])</f>
        <v>HVAC_R00110</v>
      </c>
      <c r="E19" t="str">
        <f>SUBSTITUTE(DigitalInput[[#This Row],[RealTag]],"-","_")</f>
        <v>LS_CC_00110</v>
      </c>
      <c r="F19" t="str">
        <f>"_" &amp; DigitalInput[[#This Row],[Obj]]</f>
        <v>_LS_CC_00110</v>
      </c>
      <c r="G19" t="str">
        <f t="shared" si="0"/>
        <v>Dint</v>
      </c>
      <c r="H19">
        <f t="shared" si="4"/>
        <v>17</v>
      </c>
      <c r="I19" t="s">
        <v>1585</v>
      </c>
      <c r="J19" t="s">
        <v>3367</v>
      </c>
      <c r="K19" t="str">
        <f>SUBSTITUTE(HMIPATH_DigitalInput,"$",DigitalInput[[#This Row],[ID]])</f>
        <v>ObjDigitalInput.InOut[17]</v>
      </c>
      <c r="L19" t="str" cm="1">
        <f t="array" ref="L19">FDigitalInput(DigitalInput[[#This Row],[Obj]],DigitalInput[[#This Row],[SubSystem]])</f>
        <v xml:space="preserve">#LS_CC_00110(value:="LS-CC-00110",_x000D_
reset:=#Unit.AHU.Command.General_reset,
           Process:=#Unit.LS_CC_00110,
                       InOut:=HVAC_R00110,
                       Parameters:="HVAC_R00110"."LS_CC_00110".Parameters,
                       Settings:="HVAC_R00110"."LS_CC_00110".Settings);
</v>
      </c>
      <c r="M19" t="str" cm="1">
        <f t="array" ref="M19">MUXDigitalInput(DigitalInput[[#This Row],[Obj]],DigitalInput[[#This Row],[SubSystem]])</f>
        <v xml:space="preserve">#LS_CC_00110(Object := "HVAC_R00110".LS_CC_00110,
                InOut := "ObjDigitalInput".InOut[#_LS_CC_00110],
                Parameters:="ObjDigitalInput".Parameters[#_LS_CC_00110]);
</v>
      </c>
      <c r="N19" t="str" cm="1">
        <f t="array" ref="N19">DigitalInputAMS(DigitalInput[[#This Row],[Tag]])</f>
        <v xml:space="preserve">"AlarmWarningAMS"(Base:=#Input.InOut[_LS_CC_00110].Base,
                  ConfigAMS:=#Input.AMS[_LS_CC_00110],
                  ResultAMS:=#Unit.AMS);
</v>
      </c>
    </row>
    <row r="20" spans="1:14" x14ac:dyDescent="0.3">
      <c r="A20" t="str">
        <f t="shared" si="1"/>
        <v>DigitalInputProcess</v>
      </c>
      <c r="B20" t="s">
        <v>997</v>
      </c>
      <c r="C20" t="s">
        <v>1442</v>
      </c>
      <c r="D20" t="str" cm="1">
        <f t="array" ref="D20">GetSystemFromTag(DigitalInput[[#This Row],[Obj]])</f>
        <v>HVAC_R00111</v>
      </c>
      <c r="E20" t="str">
        <f>SUBSTITUTE(DigitalInput[[#This Row],[RealTag]],"-","_")</f>
        <v>LS_CC_00111</v>
      </c>
      <c r="F20" t="str">
        <f>"_" &amp; DigitalInput[[#This Row],[Obj]]</f>
        <v>_LS_CC_00111</v>
      </c>
      <c r="G20" t="str">
        <f t="shared" si="0"/>
        <v>Dint</v>
      </c>
      <c r="H20">
        <f t="shared" si="4"/>
        <v>18</v>
      </c>
      <c r="I20" t="s">
        <v>1585</v>
      </c>
      <c r="J20" t="s">
        <v>3367</v>
      </c>
      <c r="K20" t="str">
        <f>SUBSTITUTE(HMIPATH_DigitalInput,"$",DigitalInput[[#This Row],[ID]])</f>
        <v>ObjDigitalInput.InOut[18]</v>
      </c>
      <c r="L20" t="str" cm="1">
        <f t="array" ref="L20">FDigitalInput(DigitalInput[[#This Row],[Obj]],DigitalInput[[#This Row],[SubSystem]])</f>
        <v xml:space="preserve">#LS_CC_00111(value:="LS-CC-00111",_x000D_
reset:=#Unit.AHU.Command.General_reset,
           Process:=#Unit.LS_CC_00111,
                       InOut:=HVAC_R00111,
                       Parameters:="HVAC_R00111"."LS_CC_00111".Parameters,
                       Settings:="HVAC_R00111"."LS_CC_00111".Settings);
</v>
      </c>
      <c r="M20" t="str" cm="1">
        <f t="array" ref="M20">MUXDigitalInput(DigitalInput[[#This Row],[Obj]],DigitalInput[[#This Row],[SubSystem]])</f>
        <v xml:space="preserve">#LS_CC_00111(Object := "HVAC_R00111".LS_CC_00111,
                InOut := "ObjDigitalInput".InOut[#_LS_CC_00111],
                Parameters:="ObjDigitalInput".Parameters[#_LS_CC_00111]);
</v>
      </c>
      <c r="N20" t="str" cm="1">
        <f t="array" ref="N20">DigitalInputAMS(DigitalInput[[#This Row],[Tag]])</f>
        <v xml:space="preserve">"AlarmWarningAMS"(Base:=#Input.InOut[_LS_CC_00111].Base,
                  ConfigAMS:=#Input.AMS[_LS_CC_00111],
                  ResultAMS:=#Unit.AMS);
</v>
      </c>
    </row>
    <row r="21" spans="1:14" x14ac:dyDescent="0.3">
      <c r="A21" t="str">
        <f t="shared" ref="A21:A32" si="5">"DigitalInputProcess"</f>
        <v>DigitalInputProcess</v>
      </c>
      <c r="B21" s="3" t="s">
        <v>1597</v>
      </c>
      <c r="C21" t="s">
        <v>1442</v>
      </c>
      <c r="D21" t="str" cm="1">
        <f t="array" ref="D21">GetSystemFromTag(DigitalInput[[#This Row],[Obj]])</f>
        <v>HVAC_SU01</v>
      </c>
      <c r="E21" t="str">
        <f>SUBSTITUTE(DigitalInput[[#This Row],[RealTag]],"-","_")</f>
        <v>PWR_SU01</v>
      </c>
      <c r="F21" t="str">
        <f>"_" &amp; DigitalInput[[#This Row],[Obj]]</f>
        <v>_PWR_SU01</v>
      </c>
      <c r="G21" t="str">
        <f t="shared" ref="G21:G32" si="6">"Dint"</f>
        <v>Dint</v>
      </c>
      <c r="H21">
        <f t="shared" ref="H21:H32" si="7">ROW()-2</f>
        <v>19</v>
      </c>
      <c r="I21" t="s">
        <v>1585</v>
      </c>
      <c r="J21" t="s">
        <v>3367</v>
      </c>
      <c r="K21" t="str">
        <f>SUBSTITUTE(HMIPATH_DigitalInput,"$",DigitalInput[[#This Row],[ID]])</f>
        <v>ObjDigitalInput.InOut[19]</v>
      </c>
      <c r="L21" t="str" cm="1">
        <f t="array" ref="L21">FDigitalInput(DigitalInput[[#This Row],[Obj]],DigitalInput[[#This Row],[SubSystem]])</f>
        <v xml:space="preserve">#PWR_SU01(value:="SU01_PAR",_x000D_
reset:=#Unit.AHU.Command.General_reset,
           Process:=#Unit.PWR_SU01,
                       InOut:=HVAC_SU01,
                       Parameters:="HVAC_SU01"."PWR_SU01".Parameters,
                       Settings:="HVAC_SU01"."PWR_SU01".Settings);
</v>
      </c>
      <c r="M21" t="str" cm="1">
        <f t="array" ref="M21">MUXDigitalInput(DigitalInput[[#This Row],[Obj]],DigitalInput[[#This Row],[SubSystem]])</f>
        <v xml:space="preserve">#PWR_SU01(Object := "HVAC_SU01".PWR_SU01,
                InOut := "ObjDigitalInput".InOut[#_PWR_SU01],
                Parameters:="ObjDigitalInput".Parameters[#_PWR_SU01]);
</v>
      </c>
      <c r="N21" t="str" cm="1">
        <f t="array" ref="N21">DigitalInputAMS(DigitalInput[[#This Row],[Tag]])</f>
        <v xml:space="preserve">"AlarmWarningAMS"(Base:=#Input.InOut[_PWR_SU01].Base,
                  ConfigAMS:=#Input.AMS[_PWR_SU01],
                  ResultAMS:=#Unit.AMS);
</v>
      </c>
    </row>
    <row r="22" spans="1:14" x14ac:dyDescent="0.3">
      <c r="A22" t="str">
        <f t="shared" si="5"/>
        <v>DigitalInputProcess</v>
      </c>
      <c r="B22" s="3" t="s">
        <v>1598</v>
      </c>
      <c r="C22" t="s">
        <v>1442</v>
      </c>
      <c r="D22" t="str" cm="1">
        <f t="array" ref="D22">GetSystemFromTag(DigitalInput[[#This Row],[Obj]])</f>
        <v>HVAC_SU01</v>
      </c>
      <c r="E22" t="str">
        <f>SUBSTITUTE(DigitalInput[[#This Row],[RealTag]],"-","_")</f>
        <v>MICRO_SU01</v>
      </c>
      <c r="F22" t="str">
        <f>"_" &amp; DigitalInput[[#This Row],[Obj]]</f>
        <v>_MICRO_SU01</v>
      </c>
      <c r="G22" t="str">
        <f t="shared" si="6"/>
        <v>Dint</v>
      </c>
      <c r="H22">
        <f t="shared" si="7"/>
        <v>20</v>
      </c>
      <c r="I22" t="s">
        <v>1585</v>
      </c>
      <c r="J22" t="s">
        <v>3367</v>
      </c>
      <c r="K22" t="str">
        <f>SUBSTITUTE(HMIPATH_DigitalInput,"$",DigitalInput[[#This Row],[ID]])</f>
        <v>ObjDigitalInput.InOut[20]</v>
      </c>
      <c r="L22" t="str" cm="1">
        <f t="array" ref="L22">FDigitalInput(DigitalInput[[#This Row],[Obj]],DigitalInput[[#This Row],[SubSystem]])</f>
        <v xml:space="preserve">#MICRO_SU01(value:="SU01_PAR",_x000D_
reset:=#Unit.AHU.Command.General_reset,
           Process:=#Unit.MICRO_SU01,
                       InOut:=HVAC_SU01,
                       Parameters:="HVAC_SU01"."MICRO_SU01".Parameters,
                       Settings:="HVAC_SU01"."MICRO_SU01".Settings);
</v>
      </c>
      <c r="M22" t="str" cm="1">
        <f t="array" ref="M22">MUXDigitalInput(DigitalInput[[#This Row],[Obj]],DigitalInput[[#This Row],[SubSystem]])</f>
        <v xml:space="preserve">#MICRO_SU01(Object := "HVAC_SU01".MICRO_SU01,
                InOut := "ObjDigitalInput".InOut[#_MICRO_SU01],
                Parameters:="ObjDigitalInput".Parameters[#_MICRO_SU01]);
</v>
      </c>
      <c r="N22" t="str" cm="1">
        <f t="array" ref="N22">DigitalInputAMS(DigitalInput[[#This Row],[Tag]])</f>
        <v xml:space="preserve">"AlarmWarningAMS"(Base:=#Input.InOut[_MICRO_SU01].Base,
                  ConfigAMS:=#Input.AMS[_MICRO_SU01],
                  ResultAMS:=#Unit.AMS);
</v>
      </c>
    </row>
    <row r="23" spans="1:14" x14ac:dyDescent="0.3">
      <c r="A23" t="str">
        <f t="shared" si="5"/>
        <v>DigitalInputProcess</v>
      </c>
      <c r="B23" s="3" t="s">
        <v>1599</v>
      </c>
      <c r="C23" t="s">
        <v>1442</v>
      </c>
      <c r="D23" t="str" cm="1">
        <f t="array" ref="D23">GetSystemFromTag(DigitalInput[[#This Row],[Obj]])</f>
        <v>HVAC_SU01</v>
      </c>
      <c r="E23" t="str">
        <f>SUBSTITUTE(DigitalInput[[#This Row],[RealTag]],"-","_")</f>
        <v>ES_SU01</v>
      </c>
      <c r="F23" t="str">
        <f>"_" &amp; DigitalInput[[#This Row],[Obj]]</f>
        <v>_ES_SU01</v>
      </c>
      <c r="G23" t="str">
        <f t="shared" si="6"/>
        <v>Dint</v>
      </c>
      <c r="H23">
        <f t="shared" si="7"/>
        <v>21</v>
      </c>
      <c r="I23" t="s">
        <v>1585</v>
      </c>
      <c r="J23" t="s">
        <v>3367</v>
      </c>
      <c r="K23" t="str">
        <f>SUBSTITUTE(HMIPATH_DigitalInput,"$",DigitalInput[[#This Row],[ID]])</f>
        <v>ObjDigitalInput.InOut[21]</v>
      </c>
      <c r="L23" t="str" cm="1">
        <f t="array" ref="L23">FDigitalInput(DigitalInput[[#This Row],[Obj]],DigitalInput[[#This Row],[SubSystem]])</f>
        <v xml:space="preserve">#ES_SU01(value:="SU01_ES",_x000D_
reset:=#Unit.AHU.Command.General_reset,
           Process:=#Unit.ES_SU01,
                       InOut:=HVAC_SU01,
                       Parameters:="HVAC_SU01"."ES_SU01".Parameters,
                       Settings:="HVAC_SU01"."ES_SU01".Settings);
</v>
      </c>
      <c r="M23" t="str" cm="1">
        <f t="array" ref="M23">MUXDigitalInput(DigitalInput[[#This Row],[Obj]],DigitalInput[[#This Row],[SubSystem]])</f>
        <v xml:space="preserve">#ES_SU01(Object := "HVAC_SU01".ES_SU01,
                InOut := "ObjDigitalInput".InOut[#_ES_SU01],
                Parameters:="ObjDigitalInput".Parameters[#_ES_SU01]);
</v>
      </c>
      <c r="N23" t="str" cm="1">
        <f t="array" ref="N23">DigitalInputAMS(DigitalInput[[#This Row],[Tag]])</f>
        <v xml:space="preserve">"AlarmWarningAMS"(Base:=#Input.InOut[_ES_SU01].Base,
                  ConfigAMS:=#Input.AMS[_ES_SU01],
                  ResultAMS:=#Unit.AMS);
</v>
      </c>
    </row>
    <row r="24" spans="1:14" x14ac:dyDescent="0.3">
      <c r="A24" t="str">
        <f t="shared" si="5"/>
        <v>DigitalInputProcess</v>
      </c>
      <c r="B24" s="3" t="s">
        <v>1600</v>
      </c>
      <c r="C24" t="s">
        <v>1442</v>
      </c>
      <c r="D24" t="str" cm="1">
        <f t="array" ref="D24">GetSystemFromTag(DigitalInput[[#This Row],[Obj]])</f>
        <v>HVAC_SU01</v>
      </c>
      <c r="E24" t="str">
        <f>SUBSTITUTE(DigitalInput[[#This Row],[RealTag]],"-","_")</f>
        <v>FC_SU01</v>
      </c>
      <c r="F24" t="str">
        <f>"_" &amp; DigitalInput[[#This Row],[Obj]]</f>
        <v>_FC_SU01</v>
      </c>
      <c r="G24" t="str">
        <f t="shared" si="6"/>
        <v>Dint</v>
      </c>
      <c r="H24">
        <f t="shared" si="7"/>
        <v>22</v>
      </c>
      <c r="I24" t="s">
        <v>1585</v>
      </c>
      <c r="J24" t="s">
        <v>3367</v>
      </c>
      <c r="K24" t="str">
        <f>SUBSTITUTE(HMIPATH_DigitalInput,"$",DigitalInput[[#This Row],[ID]])</f>
        <v>ObjDigitalInput.InOut[22]</v>
      </c>
      <c r="L24" t="str" cm="1">
        <f t="array" ref="L24">FDigitalInput(DigitalInput[[#This Row],[Obj]],DigitalInput[[#This Row],[SubSystem]])</f>
        <v xml:space="preserve">#FC_SU01(value:="SU01_FC_AL",_x000D_
reset:=#Unit.AHU.Command.General_reset,
           Process:=#Unit.FC_SU01,
                       InOut:=HVAC_SU01,
                       Parameters:="HVAC_SU01"."FC_SU01".Parameters,
                       Settings:="HVAC_SU01"."FC_SU01".Settings);
</v>
      </c>
      <c r="M24" t="str" cm="1">
        <f t="array" ref="M24">MUXDigitalInput(DigitalInput[[#This Row],[Obj]],DigitalInput[[#This Row],[SubSystem]])</f>
        <v xml:space="preserve">#FC_SU01(Object := "HVAC_SU01".FC_SU01,
                InOut := "ObjDigitalInput".InOut[#_FC_SU01],
                Parameters:="ObjDigitalInput".Parameters[#_FC_SU01]);
</v>
      </c>
      <c r="N24" t="str" cm="1">
        <f t="array" ref="N24">DigitalInputAMS(DigitalInput[[#This Row],[Tag]])</f>
        <v xml:space="preserve">"AlarmWarningAMS"(Base:=#Input.InOut[_FC_SU01].Base,
                  ConfigAMS:=#Input.AMS[_FC_SU01],
                  ResultAMS:=#Unit.AMS);
</v>
      </c>
    </row>
    <row r="25" spans="1:14" x14ac:dyDescent="0.3">
      <c r="A25" t="str">
        <f t="shared" si="5"/>
        <v>DigitalInputProcess</v>
      </c>
      <c r="B25" s="3" t="s">
        <v>1601</v>
      </c>
      <c r="C25" t="s">
        <v>1442</v>
      </c>
      <c r="D25" t="str" cm="1">
        <f t="array" ref="D25">GetSystemFromTag(DigitalInput[[#This Row],[Obj]])</f>
        <v>HVAC_SU01</v>
      </c>
      <c r="E25" t="str">
        <f>SUBSTITUTE(DigitalInput[[#This Row],[RealTag]],"-","_")</f>
        <v>PS24VAC_SU01</v>
      </c>
      <c r="F25" t="str">
        <f>"_" &amp; DigitalInput[[#This Row],[Obj]]</f>
        <v>_PS24VAC_SU01</v>
      </c>
      <c r="G25" t="str">
        <f t="shared" si="6"/>
        <v>Dint</v>
      </c>
      <c r="H25">
        <f t="shared" si="7"/>
        <v>23</v>
      </c>
      <c r="I25" t="s">
        <v>1585</v>
      </c>
      <c r="J25" t="s">
        <v>3367</v>
      </c>
      <c r="K25" t="str">
        <f>SUBSTITUTE(HMIPATH_DigitalInput,"$",DigitalInput[[#This Row],[ID]])</f>
        <v>ObjDigitalInput.InOut[23]</v>
      </c>
      <c r="L25" t="str" cm="1">
        <f t="array" ref="L25">FDigitalInput(DigitalInput[[#This Row],[Obj]],DigitalInput[[#This Row],[SubSystem]])</f>
        <v xml:space="preserve">#PS24VAC_SU01(value:="SU01_24VAC",_x000D_
reset:=#Unit.AHU.Command.General_reset,
           Process:=#Unit.PS24VAC_SU01,
                       InOut:=HVAC_SU01,
                       Parameters:="HVAC_SU01"."PS24VAC_SU01".Parameters,
                       Settings:="HVAC_SU01"."PS24VAC_SU01".Settings);
</v>
      </c>
      <c r="M25" t="str" cm="1">
        <f t="array" ref="M25">MUXDigitalInput(DigitalInput[[#This Row],[Obj]],DigitalInput[[#This Row],[SubSystem]])</f>
        <v xml:space="preserve">#PS24VAC_SU01(Object := "HVAC_SU01".PS24VAC_SU01,
                InOut := "ObjDigitalInput".InOut[#_PS24VAC_SU01],
                Parameters:="ObjDigitalInput".Parameters[#_PS24VAC_SU01]);
</v>
      </c>
      <c r="N25" t="str" cm="1">
        <f t="array" ref="N25">DigitalInputAMS(DigitalInput[[#This Row],[Tag]])</f>
        <v xml:space="preserve">"AlarmWarningAMS"(Base:=#Input.InOut[_PS24VAC_SU01].Base,
                  ConfigAMS:=#Input.AMS[_PS24VAC_SU01],
                  ResultAMS:=#Unit.AMS);
</v>
      </c>
    </row>
    <row r="26" spans="1:14" x14ac:dyDescent="0.3">
      <c r="A26" t="str">
        <f t="shared" si="5"/>
        <v>DigitalInputProcess</v>
      </c>
      <c r="B26" s="3" t="s">
        <v>1602</v>
      </c>
      <c r="C26" t="s">
        <v>1442</v>
      </c>
      <c r="D26" t="str" cm="1">
        <f t="array" ref="D26">GetSystemFromTag(DigitalInput[[#This Row],[Obj]])</f>
        <v>HVAC_SU01</v>
      </c>
      <c r="E26" t="str">
        <f>SUBSTITUTE(DigitalInput[[#This Row],[RealTag]],"-","_")</f>
        <v>PS24VDC_SU01</v>
      </c>
      <c r="F26" t="str">
        <f>"_" &amp; DigitalInput[[#This Row],[Obj]]</f>
        <v>_PS24VDC_SU01</v>
      </c>
      <c r="G26" t="str">
        <f t="shared" si="6"/>
        <v>Dint</v>
      </c>
      <c r="H26">
        <f t="shared" si="7"/>
        <v>24</v>
      </c>
      <c r="I26" t="s">
        <v>1585</v>
      </c>
      <c r="J26" t="s">
        <v>3367</v>
      </c>
      <c r="K26" t="str">
        <f>SUBSTITUTE(HMIPATH_DigitalInput,"$",DigitalInput[[#This Row],[ID]])</f>
        <v>ObjDigitalInput.InOut[24]</v>
      </c>
      <c r="L26" t="str" cm="1">
        <f t="array" ref="L26">FDigitalInput(DigitalInput[[#This Row],[Obj]],DigitalInput[[#This Row],[SubSystem]])</f>
        <v xml:space="preserve">#PS24VDC_SU01(value:="SU01_24VDC",_x000D_
reset:=#Unit.AHU.Command.General_reset,
           Process:=#Unit.PS24VDC_SU01,
                       InOut:=HVAC_SU01,
                       Parameters:="HVAC_SU01"."PS24VDC_SU01".Parameters,
                       Settings:="HVAC_SU01"."PS24VDC_SU01".Settings);
</v>
      </c>
      <c r="M26" t="str" cm="1">
        <f t="array" ref="M26">MUXDigitalInput(DigitalInput[[#This Row],[Obj]],DigitalInput[[#This Row],[SubSystem]])</f>
        <v xml:space="preserve">#PS24VDC_SU01(Object := "HVAC_SU01".PS24VDC_SU01,
                InOut := "ObjDigitalInput".InOut[#_PS24VDC_SU01],
                Parameters:="ObjDigitalInput".Parameters[#_PS24VDC_SU01]);
</v>
      </c>
      <c r="N26" t="str" cm="1">
        <f t="array" ref="N26">DigitalInputAMS(DigitalInput[[#This Row],[Tag]])</f>
        <v xml:space="preserve">"AlarmWarningAMS"(Base:=#Input.InOut[_PS24VDC_SU01].Base,
                  ConfigAMS:=#Input.AMS[_PS24VDC_SU01],
                  ResultAMS:=#Unit.AMS);
</v>
      </c>
    </row>
    <row r="27" spans="1:14" x14ac:dyDescent="0.3">
      <c r="A27" t="str">
        <f t="shared" si="5"/>
        <v>DigitalInputProcess</v>
      </c>
      <c r="B27" s="3" t="s">
        <v>1603</v>
      </c>
      <c r="C27" t="s">
        <v>1443</v>
      </c>
      <c r="D27" t="str" cm="1">
        <f t="array" ref="D27">GetSystemFromTag(DigitalInput[[#This Row],[Obj]])</f>
        <v>HVAC_SU01B</v>
      </c>
      <c r="E27" t="str">
        <f>SUBSTITUTE(DigitalInput[[#This Row],[RealTag]],"-","_")</f>
        <v>PWR_SU01B</v>
      </c>
      <c r="F27" t="str">
        <f>"_" &amp; DigitalInput[[#This Row],[Obj]]</f>
        <v>_PWR_SU01B</v>
      </c>
      <c r="G27" t="str">
        <f t="shared" si="6"/>
        <v>Dint</v>
      </c>
      <c r="H27">
        <f t="shared" si="7"/>
        <v>25</v>
      </c>
      <c r="I27" t="s">
        <v>1585</v>
      </c>
      <c r="J27" t="s">
        <v>3367</v>
      </c>
      <c r="K27" t="str">
        <f>SUBSTITUTE(HMIPATH_DigitalInput,"$",DigitalInput[[#This Row],[ID]])</f>
        <v>ObjDigitalInput.InOut[25]</v>
      </c>
      <c r="L27" t="str" cm="1">
        <f t="array" ref="L27">FDigitalInput(DigitalInput[[#This Row],[Obj]],DigitalInput[[#This Row],[SubSystem]])</f>
        <v xml:space="preserve">#PWR_SU01B(value:="SU01_PAR",_x000D_
reset:=#Unit.AHU.Command.General_reset,
           Process:=#Unit.PWR_SU01B,
                       InOut:=HVAC_SU01B,
                       Parameters:="HVAC_SU01B"."PWR_SU01B".Parameters,
                       Settings:="HVAC_SU01B"."PWR_SU01B".Settings);
</v>
      </c>
      <c r="M27" t="str" cm="1">
        <f t="array" ref="M27">MUXDigitalInput(DigitalInput[[#This Row],[Obj]],DigitalInput[[#This Row],[SubSystem]])</f>
        <v xml:space="preserve">#PWR_SU01B(Object := "HVAC_SU01B".PWR_SU01B,
                InOut := "ObjDigitalInput".InOut[#_PWR_SU01B],
                Parameters:="ObjDigitalInput".Parameters[#_PWR_SU01B]);
</v>
      </c>
      <c r="N27" t="str" cm="1">
        <f t="array" ref="N27">DigitalInputAMS(DigitalInput[[#This Row],[Tag]])</f>
        <v xml:space="preserve">"AlarmWarningAMS"(Base:=#Input.InOut[_PWR_SU01B].Base,
                  ConfigAMS:=#Input.AMS[_PWR_SU01B],
                  ResultAMS:=#Unit.AMS);
</v>
      </c>
    </row>
    <row r="28" spans="1:14" x14ac:dyDescent="0.3">
      <c r="A28" t="str">
        <f t="shared" si="5"/>
        <v>DigitalInputProcess</v>
      </c>
      <c r="B28" s="3" t="s">
        <v>1604</v>
      </c>
      <c r="C28" t="s">
        <v>1443</v>
      </c>
      <c r="D28" t="str" cm="1">
        <f t="array" ref="D28">GetSystemFromTag(DigitalInput[[#This Row],[Obj]])</f>
        <v>HVAC_SU01B</v>
      </c>
      <c r="E28" t="str">
        <f>SUBSTITUTE(DigitalInput[[#This Row],[RealTag]],"-","_")</f>
        <v>MICRO_SU01B</v>
      </c>
      <c r="F28" t="str">
        <f>"_" &amp; DigitalInput[[#This Row],[Obj]]</f>
        <v>_MICRO_SU01B</v>
      </c>
      <c r="G28" t="str">
        <f t="shared" si="6"/>
        <v>Dint</v>
      </c>
      <c r="H28">
        <f t="shared" si="7"/>
        <v>26</v>
      </c>
      <c r="I28" t="s">
        <v>1585</v>
      </c>
      <c r="J28" t="s">
        <v>3367</v>
      </c>
      <c r="K28" t="str">
        <f>SUBSTITUTE(HMIPATH_DigitalInput,"$",DigitalInput[[#This Row],[ID]])</f>
        <v>ObjDigitalInput.InOut[26]</v>
      </c>
      <c r="L28" t="str" cm="1">
        <f t="array" ref="L28">FDigitalInput(DigitalInput[[#This Row],[Obj]],DigitalInput[[#This Row],[SubSystem]])</f>
        <v xml:space="preserve">#MICRO_SU01B(value:="SU01_PAR",_x000D_
reset:=#Unit.AHU.Command.General_reset,
           Process:=#Unit.MICRO_SU01B,
                       InOut:=HVAC_SU01B,
                       Parameters:="HVAC_SU01B"."MICRO_SU01B".Parameters,
                       Settings:="HVAC_SU01B"."MICRO_SU01B".Settings);
</v>
      </c>
      <c r="M28" t="str" cm="1">
        <f t="array" ref="M28">MUXDigitalInput(DigitalInput[[#This Row],[Obj]],DigitalInput[[#This Row],[SubSystem]])</f>
        <v xml:space="preserve">#MICRO_SU01B(Object := "HVAC_SU01B".MICRO_SU01B,
                InOut := "ObjDigitalInput".InOut[#_MICRO_SU01B],
                Parameters:="ObjDigitalInput".Parameters[#_MICRO_SU01B]);
</v>
      </c>
      <c r="N28" t="str" cm="1">
        <f t="array" ref="N28">DigitalInputAMS(DigitalInput[[#This Row],[Tag]])</f>
        <v xml:space="preserve">"AlarmWarningAMS"(Base:=#Input.InOut[_MICRO_SU01B].Base,
                  ConfigAMS:=#Input.AMS[_MICRO_SU01B],
                  ResultAMS:=#Unit.AMS);
</v>
      </c>
    </row>
    <row r="29" spans="1:14" x14ac:dyDescent="0.3">
      <c r="A29" t="str">
        <f t="shared" si="5"/>
        <v>DigitalInputProcess</v>
      </c>
      <c r="B29" s="3" t="s">
        <v>1605</v>
      </c>
      <c r="C29" t="s">
        <v>1443</v>
      </c>
      <c r="D29" t="str" cm="1">
        <f t="array" ref="D29">GetSystemFromTag(DigitalInput[[#This Row],[Obj]])</f>
        <v>HVAC_SU01B</v>
      </c>
      <c r="E29" t="str">
        <f>SUBSTITUTE(DigitalInput[[#This Row],[RealTag]],"-","_")</f>
        <v>ES_SU01B</v>
      </c>
      <c r="F29" t="str">
        <f>"_" &amp; DigitalInput[[#This Row],[Obj]]</f>
        <v>_ES_SU01B</v>
      </c>
      <c r="G29" t="str">
        <f t="shared" si="6"/>
        <v>Dint</v>
      </c>
      <c r="H29">
        <f t="shared" si="7"/>
        <v>27</v>
      </c>
      <c r="I29" t="s">
        <v>1585</v>
      </c>
      <c r="J29" t="s">
        <v>3367</v>
      </c>
      <c r="K29" t="str">
        <f>SUBSTITUTE(HMIPATH_DigitalInput,"$",DigitalInput[[#This Row],[ID]])</f>
        <v>ObjDigitalInput.InOut[27]</v>
      </c>
      <c r="L29" t="str" cm="1">
        <f t="array" ref="L29">FDigitalInput(DigitalInput[[#This Row],[Obj]],DigitalInput[[#This Row],[SubSystem]])</f>
        <v xml:space="preserve">#ES_SU01B(value:="SU01_ES",_x000D_
reset:=#Unit.AHU.Command.General_reset,
           Process:=#Unit.ES_SU01B,
                       InOut:=HVAC_SU01B,
                       Parameters:="HVAC_SU01B"."ES_SU01B".Parameters,
                       Settings:="HVAC_SU01B"."ES_SU01B".Settings);
</v>
      </c>
      <c r="M29" t="str" cm="1">
        <f t="array" ref="M29">MUXDigitalInput(DigitalInput[[#This Row],[Obj]],DigitalInput[[#This Row],[SubSystem]])</f>
        <v xml:space="preserve">#ES_SU01B(Object := "HVAC_SU01B".ES_SU01B,
                InOut := "ObjDigitalInput".InOut[#_ES_SU01B],
                Parameters:="ObjDigitalInput".Parameters[#_ES_SU01B]);
</v>
      </c>
      <c r="N29" t="str" cm="1">
        <f t="array" ref="N29">DigitalInputAMS(DigitalInput[[#This Row],[Tag]])</f>
        <v xml:space="preserve">"AlarmWarningAMS"(Base:=#Input.InOut[_ES_SU01B].Base,
                  ConfigAMS:=#Input.AMS[_ES_SU01B],
                  ResultAMS:=#Unit.AMS);
</v>
      </c>
    </row>
    <row r="30" spans="1:14" x14ac:dyDescent="0.3">
      <c r="A30" t="str">
        <f t="shared" si="5"/>
        <v>DigitalInputProcess</v>
      </c>
      <c r="B30" s="3" t="s">
        <v>1606</v>
      </c>
      <c r="C30" t="s">
        <v>1443</v>
      </c>
      <c r="D30" t="str" cm="1">
        <f t="array" ref="D30">GetSystemFromTag(DigitalInput[[#This Row],[Obj]])</f>
        <v>HVAC_SU01B</v>
      </c>
      <c r="E30" t="str">
        <f>SUBSTITUTE(DigitalInput[[#This Row],[RealTag]],"-","_")</f>
        <v>FC_SU01B</v>
      </c>
      <c r="F30" t="str">
        <f>"_" &amp; DigitalInput[[#This Row],[Obj]]</f>
        <v>_FC_SU01B</v>
      </c>
      <c r="G30" t="str">
        <f t="shared" si="6"/>
        <v>Dint</v>
      </c>
      <c r="H30">
        <f t="shared" si="7"/>
        <v>28</v>
      </c>
      <c r="I30" t="s">
        <v>1585</v>
      </c>
      <c r="J30" t="s">
        <v>3367</v>
      </c>
      <c r="K30" t="str">
        <f>SUBSTITUTE(HMIPATH_DigitalInput,"$",DigitalInput[[#This Row],[ID]])</f>
        <v>ObjDigitalInput.InOut[28]</v>
      </c>
      <c r="L30" t="str" cm="1">
        <f t="array" ref="L30">FDigitalInput(DigitalInput[[#This Row],[Obj]],DigitalInput[[#This Row],[SubSystem]])</f>
        <v xml:space="preserve">#FC_SU01B(value:="SU01_FC_AL",_x000D_
reset:=#Unit.AHU.Command.General_reset,
           Process:=#Unit.FC_SU01B,
                       InOut:=HVAC_SU01B,
                       Parameters:="HVAC_SU01B"."FC_SU01B".Parameters,
                       Settings:="HVAC_SU01B"."FC_SU01B".Settings);
</v>
      </c>
      <c r="M30" t="str" cm="1">
        <f t="array" ref="M30">MUXDigitalInput(DigitalInput[[#This Row],[Obj]],DigitalInput[[#This Row],[SubSystem]])</f>
        <v xml:space="preserve">#FC_SU01B(Object := "HVAC_SU01B".FC_SU01B,
                InOut := "ObjDigitalInput".InOut[#_FC_SU01B],
                Parameters:="ObjDigitalInput".Parameters[#_FC_SU01B]);
</v>
      </c>
      <c r="N30" t="str" cm="1">
        <f t="array" ref="N30">DigitalInputAMS(DigitalInput[[#This Row],[Tag]])</f>
        <v xml:space="preserve">"AlarmWarningAMS"(Base:=#Input.InOut[_FC_SU01B].Base,
                  ConfigAMS:=#Input.AMS[_FC_SU01B],
                  ResultAMS:=#Unit.AMS);
</v>
      </c>
    </row>
    <row r="31" spans="1:14" x14ac:dyDescent="0.3">
      <c r="A31" t="str">
        <f t="shared" si="5"/>
        <v>DigitalInputProcess</v>
      </c>
      <c r="B31" s="3" t="s">
        <v>1607</v>
      </c>
      <c r="C31" t="s">
        <v>1443</v>
      </c>
      <c r="D31" t="str" cm="1">
        <f t="array" ref="D31">GetSystemFromTag(DigitalInput[[#This Row],[Obj]])</f>
        <v>HVAC_SU01B</v>
      </c>
      <c r="E31" t="str">
        <f>SUBSTITUTE(DigitalInput[[#This Row],[RealTag]],"-","_")</f>
        <v>PS24VAC_SU01B</v>
      </c>
      <c r="F31" t="str">
        <f>"_" &amp; DigitalInput[[#This Row],[Obj]]</f>
        <v>_PS24VAC_SU01B</v>
      </c>
      <c r="G31" t="str">
        <f t="shared" si="6"/>
        <v>Dint</v>
      </c>
      <c r="H31">
        <f t="shared" si="7"/>
        <v>29</v>
      </c>
      <c r="I31" t="s">
        <v>1585</v>
      </c>
      <c r="J31" t="s">
        <v>3367</v>
      </c>
      <c r="K31" t="str">
        <f>SUBSTITUTE(HMIPATH_DigitalInput,"$",DigitalInput[[#This Row],[ID]])</f>
        <v>ObjDigitalInput.InOut[29]</v>
      </c>
      <c r="L31" t="str" cm="1">
        <f t="array" ref="L31">FDigitalInput(DigitalInput[[#This Row],[Obj]],DigitalInput[[#This Row],[SubSystem]])</f>
        <v xml:space="preserve">#PS24VAC_SU01B(value:="SU01_24VAC",_x000D_
reset:=#Unit.AHU.Command.General_reset,
           Process:=#Unit.PS24VAC_SU01B,
                       InOut:=HVAC_SU01B,
                       Parameters:="HVAC_SU01B"."PS24VAC_SU01B".Parameters,
                       Settings:="HVAC_SU01B"."PS24VAC_SU01B".Settings);
</v>
      </c>
      <c r="M31" t="str" cm="1">
        <f t="array" ref="M31">MUXDigitalInput(DigitalInput[[#This Row],[Obj]],DigitalInput[[#This Row],[SubSystem]])</f>
        <v xml:space="preserve">#PS24VAC_SU01B(Object := "HVAC_SU01B".PS24VAC_SU01B,
                InOut := "ObjDigitalInput".InOut[#_PS24VAC_SU01B],
                Parameters:="ObjDigitalInput".Parameters[#_PS24VAC_SU01B]);
</v>
      </c>
      <c r="N31" t="str" cm="1">
        <f t="array" ref="N31">DigitalInputAMS(DigitalInput[[#This Row],[Tag]])</f>
        <v xml:space="preserve">"AlarmWarningAMS"(Base:=#Input.InOut[_PS24VAC_SU01B].Base,
                  ConfigAMS:=#Input.AMS[_PS24VAC_SU01B],
                  ResultAMS:=#Unit.AMS);
</v>
      </c>
    </row>
    <row r="32" spans="1:14" x14ac:dyDescent="0.3">
      <c r="A32" t="str">
        <f t="shared" si="5"/>
        <v>DigitalInputProcess</v>
      </c>
      <c r="B32" s="3" t="s">
        <v>1608</v>
      </c>
      <c r="C32" t="s">
        <v>1443</v>
      </c>
      <c r="D32" t="str" cm="1">
        <f t="array" ref="D32">GetSystemFromTag(DigitalInput[[#This Row],[Obj]])</f>
        <v>HVAC_SU01B</v>
      </c>
      <c r="E32" t="str">
        <f>SUBSTITUTE(DigitalInput[[#This Row],[RealTag]],"-","_")</f>
        <v>PS24VDC_SU01B</v>
      </c>
      <c r="F32" t="str">
        <f>"_" &amp; DigitalInput[[#This Row],[Obj]]</f>
        <v>_PS24VDC_SU01B</v>
      </c>
      <c r="G32" t="str">
        <f t="shared" si="6"/>
        <v>Dint</v>
      </c>
      <c r="H32">
        <f t="shared" si="7"/>
        <v>30</v>
      </c>
      <c r="I32" t="s">
        <v>1585</v>
      </c>
      <c r="J32" t="s">
        <v>3367</v>
      </c>
      <c r="K32" t="str">
        <f>SUBSTITUTE(HMIPATH_DigitalInput,"$",DigitalInput[[#This Row],[ID]])</f>
        <v>ObjDigitalInput.InOut[30]</v>
      </c>
      <c r="L32" t="str" cm="1">
        <f t="array" ref="L32">FDigitalInput(DigitalInput[[#This Row],[Obj]],DigitalInput[[#This Row],[SubSystem]])</f>
        <v xml:space="preserve">#PS24VDC_SU01B(value:="SU01_24VDC",_x000D_
reset:=#Unit.AHU.Command.General_reset,
           Process:=#Unit.PS24VDC_SU01B,
                       InOut:=HVAC_SU01B,
                       Parameters:="HVAC_SU01B"."PS24VDC_SU01B".Parameters,
                       Settings:="HVAC_SU01B"."PS24VDC_SU01B".Settings);
</v>
      </c>
      <c r="M32" t="str" cm="1">
        <f t="array" ref="M32">MUXDigitalInput(DigitalInput[[#This Row],[Obj]],DigitalInput[[#This Row],[SubSystem]])</f>
        <v xml:space="preserve">#PS24VDC_SU01B(Object := "HVAC_SU01B".PS24VDC_SU01B,
                InOut := "ObjDigitalInput".InOut[#_PS24VDC_SU01B],
                Parameters:="ObjDigitalInput".Parameters[#_PS24VDC_SU01B]);
</v>
      </c>
      <c r="N32" t="str" cm="1">
        <f t="array" ref="N32">DigitalInputAMS(DigitalInput[[#This Row],[Tag]])</f>
        <v xml:space="preserve">"AlarmWarningAMS"(Base:=#Input.InOut[_PS24VDC_SU01B].Base,
                  ConfigAMS:=#Input.AMS[_PS24VDC_SU01B],
                  ResultAMS:=#Unit.AMS);
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A9924-4604-44A1-917E-20C848CC7AE7}">
  <sheetPr codeName="Sheet9">
    <tabColor theme="4" tint="-0.499984740745262"/>
  </sheetPr>
  <dimension ref="A1:N11"/>
  <sheetViews>
    <sheetView topLeftCell="B1" workbookViewId="0">
      <selection activeCell="J3" sqref="J3:J11"/>
    </sheetView>
  </sheetViews>
  <sheetFormatPr defaultRowHeight="16.5" x14ac:dyDescent="0.3"/>
  <cols>
    <col min="1" max="1" width="22.125" bestFit="1" customWidth="1"/>
    <col min="2" max="2" width="19.5" style="3" bestFit="1" customWidth="1"/>
    <col min="3" max="3" width="9.5" bestFit="1" customWidth="1"/>
    <col min="4" max="4" width="19.5" bestFit="1" customWidth="1"/>
    <col min="5" max="5" width="20.25" bestFit="1" customWidth="1"/>
    <col min="6" max="6" width="7.375" bestFit="1" customWidth="1"/>
    <col min="7" max="7" width="5.125" bestFit="1" customWidth="1"/>
    <col min="8" max="8" width="27.625" bestFit="1" customWidth="1"/>
    <col min="9" max="9" width="27" customWidth="1"/>
    <col min="10" max="10" width="35.125" customWidth="1"/>
    <col min="11" max="11" width="11.5" customWidth="1"/>
    <col min="12" max="12" width="22.625" customWidth="1"/>
  </cols>
  <sheetData>
    <row r="1" spans="1:14" x14ac:dyDescent="0.3">
      <c r="A1" t="s">
        <v>141</v>
      </c>
      <c r="B1" t="s">
        <v>7</v>
      </c>
      <c r="C1" s="3" t="s">
        <v>132</v>
      </c>
      <c r="D1" s="3" t="s">
        <v>1609</v>
      </c>
      <c r="E1" t="s">
        <v>5</v>
      </c>
      <c r="F1" t="s">
        <v>2</v>
      </c>
      <c r="G1" t="s">
        <v>3</v>
      </c>
      <c r="H1" t="s">
        <v>4</v>
      </c>
      <c r="I1" t="s">
        <v>31</v>
      </c>
      <c r="J1" t="s">
        <v>34</v>
      </c>
      <c r="K1" t="s">
        <v>32</v>
      </c>
      <c r="L1" t="s">
        <v>33</v>
      </c>
      <c r="M1" t="s">
        <v>879</v>
      </c>
      <c r="N1" t="s">
        <v>162</v>
      </c>
    </row>
    <row r="2" spans="1:14" x14ac:dyDescent="0.3">
      <c r="C2" s="3"/>
      <c r="D2" t="str" cm="1">
        <f t="array" ref="D2">GetSystemFromTag(MotorMod[[#This Row],[Obj]])</f>
        <v>N/A</v>
      </c>
      <c r="G2" t="s">
        <v>0</v>
      </c>
      <c r="H2">
        <f t="shared" ref="H2" si="0">ROW()-2</f>
        <v>0</v>
      </c>
      <c r="K2" t="str">
        <f>SUBSTITUTE(HMIPATH_MotorModulating,"$",MotorMod[[#This Row],[ID]])</f>
        <v>ObjMotorModulating.InOut[0]</v>
      </c>
      <c r="L2" t="str" cm="1">
        <f t="array" ref="L2">FMotorModulatingExt(MotorMod[[#This Row],[Obj]],MotorMod[[#This Row],[SubSystem]])</f>
        <v/>
      </c>
      <c r="M2" t="str" cm="1">
        <f t="array" ref="M2">MUXMotorModulating(MotorMod[[#This Row],[Obj]],MotorMod[[#This Row],[SubSystem]])</f>
        <v/>
      </c>
    </row>
    <row r="3" spans="1:14" x14ac:dyDescent="0.3">
      <c r="A3" t="s">
        <v>880</v>
      </c>
      <c r="B3" t="s">
        <v>1444</v>
      </c>
      <c r="C3" t="s">
        <v>1442</v>
      </c>
      <c r="D3" t="str" cm="1">
        <f t="array" ref="D3">GetSystemFromTag(MotorMod[[#This Row],[Obj]])</f>
        <v>HVAC_SU01</v>
      </c>
      <c r="E3" t="str">
        <f>SUBSTITUTE(MotorMod[[#This Row],[RealTag]],"-","_")</f>
        <v>VFD_SF1_SU01_001</v>
      </c>
      <c r="F3" t="str">
        <f>"_" &amp; MotorMod[[#This Row],[Obj]]</f>
        <v>_VFD_SF1_SU01_001</v>
      </c>
      <c r="G3" t="s">
        <v>0</v>
      </c>
      <c r="H3">
        <f t="shared" ref="H3:H11" si="1">ROW()-2</f>
        <v>1</v>
      </c>
      <c r="I3" t="s">
        <v>1585</v>
      </c>
      <c r="J3" t="s">
        <v>3367</v>
      </c>
      <c r="K3" t="str">
        <f>SUBSTITUTE(HMIPATH_MotorModulating,"$",MotorMod[[#This Row],[ID]])</f>
        <v>ObjMotorModulating.InOut[1]</v>
      </c>
      <c r="L3" t="str" cm="1">
        <f t="array" ref="L3">FMotorModulatingExt(MotorMod[[#This Row],[Obj]],MotorMod[[#This Row],[SubSystem]])</f>
        <v xml:space="preserve">#VFD_SF1_SU01_001(supply:="VFD-SF1-SU01-001_SUPPLY",_x000D_
serviceSwitch:="VFD-SF1-SU01-001_SERVICE",_x000D_
thermicFeedback:="ModbusStations".VFD_SF1_SU01_001.Data.Error."Temperature error",_x000D_
commError:="ModbusStations".VFD_SF1_SU01_001.Station.Status.ErrorComm,_x000D_
fbRunning:=NOT "ModbusStations".VFD_SF1_SU01_001.Data.Status.Stop,_x000D_
driveError:="StatnECBLUE_ErrorSignal"("ModbusStations"."VFD_SF1_SU01_001".Data.Error),_x000D_
feedback:="ModbusStations".VFD_SF1_SU01_001.Data.Speed,_x000D_
startCommand:="ModbusStations".VFD_SF1_SU01_001.Data.ControlWord.Enable,_x000D_
setpoint:="ModbusStations".VFD_SF1_SU01_001.Data.Reference,_x000D_
emergencyStop:=#Unit.AHU.Command.Emergency_stop,
          reset:=#Unit.AHU.Command.General_reset,
          Process:=#Unit.VFD_SF1_SU01_001,
          InOut:=ObjAnalogMeasure.InOut[HVAC_SU01],
          Parameters:="HVAC_SU01"."VFD_SF1_SU01_001".Parameters,
          Settings:="HVAC_SU01"."VFD_SF1_SU01_001".Settings,
          Statistic:="HVAC_SU01"."VFD_SF1_SU01_001".Statistics);
</v>
      </c>
      <c r="M3" t="str" cm="1">
        <f t="array" ref="M3">MUXMotorModulating(MotorMod[[#This Row],[Obj]],MotorMod[[#This Row],[SubSystem]])</f>
        <v xml:space="preserve">#VFD_SF1_SU01_001(Object := "HVAC_SU01".VFD_SF1_SU01_001,
                InOut := "ObjMotorModulating".InOut[#_VFD_SF1_SU01_001],
                Parameters:="ObjMotorModulating".Parameters[#_VFD_SF1_SU01_001],
                Statistics:="ObjMotorModulating".Statistic[#_VFD_SF1_SU01_001]);
</v>
      </c>
    </row>
    <row r="4" spans="1:14" x14ac:dyDescent="0.3">
      <c r="A4" t="s">
        <v>880</v>
      </c>
      <c r="B4" t="s">
        <v>1445</v>
      </c>
      <c r="C4" t="s">
        <v>1442</v>
      </c>
      <c r="D4" t="str" cm="1">
        <f t="array" ref="D4">GetSystemFromTag(MotorMod[[#This Row],[Obj]])</f>
        <v>HVAC_SU01</v>
      </c>
      <c r="E4" t="str">
        <f>SUBSTITUTE(MotorMod[[#This Row],[RealTag]],"-","_")</f>
        <v>VFD_SF2_SU01_001</v>
      </c>
      <c r="F4" t="str">
        <f>"_" &amp; MotorMod[[#This Row],[Obj]]</f>
        <v>_VFD_SF2_SU01_001</v>
      </c>
      <c r="G4" t="s">
        <v>0</v>
      </c>
      <c r="H4">
        <f t="shared" si="1"/>
        <v>2</v>
      </c>
      <c r="I4" t="s">
        <v>1585</v>
      </c>
      <c r="J4" t="s">
        <v>3367</v>
      </c>
      <c r="K4" t="str">
        <f>SUBSTITUTE(HMIPATH_MotorModulating,"$",MotorMod[[#This Row],[ID]])</f>
        <v>ObjMotorModulating.InOut[2]</v>
      </c>
      <c r="L4" t="str" cm="1">
        <f t="array" ref="L4">FMotorModulatingExt(MotorMod[[#This Row],[Obj]],MotorMod[[#This Row],[SubSystem]])</f>
        <v xml:space="preserve">#VFD_SF2_SU01_001(supply:="VFD-SF2-SU01-001_SUPPLY",_x000D_
serviceSwitch:="VFD-SF2-SU01-001_SERVICE",_x000D_
thermicFeedback:="ModbusStations".VFD_SF2_SU01_001.Data.Error."Temperature error",_x000D_
commError:="ModbusStations".VFD_SF2_SU01_001.Station.Status.ErrorComm,_x000D_
fbRunning:=NOT "ModbusStations".VFD_SF2_SU01_001.Data.Status.Stop,_x000D_
driveError:="StatnECBLUE_ErrorSignal"("ModbusStations"."VFD_SF2_SU01_001".Data.Error),_x000D_
feedback:="ModbusStations".VFD_SF2_SU01_001.Data.Speed,_x000D_
startCommand:="ModbusStations".VFD_SF2_SU01_001.Data.ControlWord.Enable,_x000D_
setpoint:="ModbusStations".VFD_SF2_SU01_001.Data.Reference,_x000D_
emergencyStop:=#Unit.AHU.Command.Emergency_stop,
          reset:=#Unit.AHU.Command.General_reset,
          Process:=#Unit.VFD_SF2_SU01_001,
          InOut:=ObjAnalogMeasure.InOut[HVAC_SU01],
          Parameters:="HVAC_SU01"."VFD_SF2_SU01_001".Parameters,
          Settings:="HVAC_SU01"."VFD_SF2_SU01_001".Settings,
          Statistic:="HVAC_SU01"."VFD_SF2_SU01_001".Statistics);
</v>
      </c>
      <c r="M4" t="str" cm="1">
        <f t="array" ref="M4">MUXMotorModulating(MotorMod[[#This Row],[Obj]],MotorMod[[#This Row],[SubSystem]])</f>
        <v xml:space="preserve">#VFD_SF2_SU01_001(Object := "HVAC_SU01".VFD_SF2_SU01_001,
                InOut := "ObjMotorModulating".InOut[#_VFD_SF2_SU01_001],
                Parameters:="ObjMotorModulating".Parameters[#_VFD_SF2_SU01_001],
                Statistics:="ObjMotorModulating".Statistic[#_VFD_SF2_SU01_001]);
</v>
      </c>
    </row>
    <row r="5" spans="1:14" x14ac:dyDescent="0.3">
      <c r="A5" t="s">
        <v>880</v>
      </c>
      <c r="B5" t="s">
        <v>1446</v>
      </c>
      <c r="C5" t="s">
        <v>1442</v>
      </c>
      <c r="D5" t="str" cm="1">
        <f t="array" ref="D5">GetSystemFromTag(MotorMod[[#This Row],[Obj]])</f>
        <v>HVAC_SU01</v>
      </c>
      <c r="E5" t="str">
        <f>SUBSTITUTE(MotorMod[[#This Row],[RealTag]],"-","_")</f>
        <v>VFD_EF1_SU01_001</v>
      </c>
      <c r="F5" t="str">
        <f>"_" &amp; MotorMod[[#This Row],[Obj]]</f>
        <v>_VFD_EF1_SU01_001</v>
      </c>
      <c r="G5" t="s">
        <v>0</v>
      </c>
      <c r="H5">
        <f t="shared" si="1"/>
        <v>3</v>
      </c>
      <c r="I5" t="s">
        <v>1585</v>
      </c>
      <c r="J5" t="s">
        <v>3367</v>
      </c>
      <c r="K5" t="str">
        <f>SUBSTITUTE(HMIPATH_MotorModulating,"$",MotorMod[[#This Row],[ID]])</f>
        <v>ObjMotorModulating.InOut[3]</v>
      </c>
      <c r="L5" t="str" cm="1">
        <f t="array" ref="L5">FMotorModulatingExt(MotorMod[[#This Row],[Obj]],MotorMod[[#This Row],[SubSystem]])</f>
        <v xml:space="preserve">#VFD_EF1_SU01_001(supply:="VFD-EF1-SU01-001_SUPPLY",_x000D_
serviceSwitch:="VFD-EF1-SU01-001_SERVICE",_x000D_
thermicFeedback:="ModbusStations".VFD_EF1_SU01_001.Data.Error."Temperature error",_x000D_
commError:="ModbusStations".VFD_EF1_SU01_001.Station.Status.ErrorComm,_x000D_
fbRunning:=NOT "ModbusStations".VFD_EF1_SU01_001.Data.Status.Stop,_x000D_
driveError:="StatnECBLUE_ErrorSignal"("ModbusStations"."VFD_EF1_SU01_001".Data.Error),_x000D_
feedback:="ModbusStations".VFD_EF1_SU01_001.Data.Speed,_x000D_
startCommand:="ModbusStations".VFD_EF1_SU01_001.Data.ControlWord.Enable,_x000D_
setpoint:="ModbusStations".VFD_EF1_SU01_001.Data.Reference,_x000D_
emergencyStop:=#Unit.AHU.Command.Emergency_stop,
          reset:=#Unit.AHU.Command.General_reset,
          Process:=#Unit.VFD_EF1_SU01_001,
          InOut:=ObjAnalogMeasure.InOut[HVAC_SU01],
          Parameters:="HVAC_SU01"."VFD_EF1_SU01_001".Parameters,
          Settings:="HVAC_SU01"."VFD_EF1_SU01_001".Settings,
          Statistic:="HVAC_SU01"."VFD_EF1_SU01_001".Statistics);
</v>
      </c>
      <c r="M5" t="str" cm="1">
        <f t="array" ref="M5">MUXMotorModulating(MotorMod[[#This Row],[Obj]],MotorMod[[#This Row],[SubSystem]])</f>
        <v xml:space="preserve">#VFD_EF1_SU01_001(Object := "HVAC_SU01".VFD_EF1_SU01_001,
                InOut := "ObjMotorModulating".InOut[#_VFD_EF1_SU01_001],
                Parameters:="ObjMotorModulating".Parameters[#_VFD_EF1_SU01_001],
                Statistics:="ObjMotorModulating".Statistic[#_VFD_EF1_SU01_001]);
</v>
      </c>
    </row>
    <row r="6" spans="1:14" x14ac:dyDescent="0.3">
      <c r="A6" t="s">
        <v>880</v>
      </c>
      <c r="B6" t="s">
        <v>1447</v>
      </c>
      <c r="C6" t="s">
        <v>1442</v>
      </c>
      <c r="D6" t="str" cm="1">
        <f t="array" ref="D6">GetSystemFromTag(MotorMod[[#This Row],[Obj]])</f>
        <v>HVAC_SU01</v>
      </c>
      <c r="E6" t="str">
        <f>SUBSTITUTE(MotorMod[[#This Row],[RealTag]],"-","_")</f>
        <v>VFD_EF2_SU01_001</v>
      </c>
      <c r="F6" t="str">
        <f>"_" &amp; MotorMod[[#This Row],[Obj]]</f>
        <v>_VFD_EF2_SU01_001</v>
      </c>
      <c r="G6" t="s">
        <v>0</v>
      </c>
      <c r="H6">
        <f t="shared" si="1"/>
        <v>4</v>
      </c>
      <c r="I6" t="s">
        <v>1585</v>
      </c>
      <c r="J6" t="s">
        <v>3367</v>
      </c>
      <c r="K6" t="str">
        <f>SUBSTITUTE(HMIPATH_MotorModulating,"$",MotorMod[[#This Row],[ID]])</f>
        <v>ObjMotorModulating.InOut[4]</v>
      </c>
      <c r="L6" t="str" cm="1">
        <f t="array" ref="L6">FMotorModulatingExt(MotorMod[[#This Row],[Obj]],MotorMod[[#This Row],[SubSystem]])</f>
        <v xml:space="preserve">#VFD_EF2_SU01_001(supply:="VFD-EF2-SU01-001_SUPPLY",_x000D_
serviceSwitch:="VFD-EF2-SU01-001_SERVICE",_x000D_
thermicFeedback:="ModbusStations".VFD_EF2_SU01_001.Data.Error."Temperature error",_x000D_
commError:="ModbusStations".VFD_EF2_SU01_001.Station.Status.ErrorComm,_x000D_
fbRunning:=NOT "ModbusStations".VFD_EF2_SU01_001.Data.Status.Stop,_x000D_
driveError:="StatnECBLUE_ErrorSignal"("ModbusStations"."VFD_EF2_SU01_001".Data.Error),_x000D_
feedback:="ModbusStations".VFD_EF2_SU01_001.Data.Speed,_x000D_
startCommand:="ModbusStations".VFD_EF2_SU01_001.Data.ControlWord.Enable,_x000D_
setpoint:="ModbusStations".VFD_EF2_SU01_001.Data.Reference,_x000D_
emergencyStop:=#Unit.AHU.Command.Emergency_stop,
          reset:=#Unit.AHU.Command.General_reset,
          Process:=#Unit.VFD_EF2_SU01_001,
          InOut:=ObjAnalogMeasure.InOut[HVAC_SU01],
          Parameters:="HVAC_SU01"."VFD_EF2_SU01_001".Parameters,
          Settings:="HVAC_SU01"."VFD_EF2_SU01_001".Settings,
          Statistic:="HVAC_SU01"."VFD_EF2_SU01_001".Statistics);
</v>
      </c>
      <c r="M6" t="str" cm="1">
        <f t="array" ref="M6">MUXMotorModulating(MotorMod[[#This Row],[Obj]],MotorMod[[#This Row],[SubSystem]])</f>
        <v xml:space="preserve">#VFD_EF2_SU01_001(Object := "HVAC_SU01".VFD_EF2_SU01_001,
                InOut := "ObjMotorModulating".InOut[#_VFD_EF2_SU01_001],
                Parameters:="ObjMotorModulating".Parameters[#_VFD_EF2_SU01_001],
                Statistics:="ObjMotorModulating".Statistic[#_VFD_EF2_SU01_001]);
</v>
      </c>
    </row>
    <row r="7" spans="1:14" x14ac:dyDescent="0.3">
      <c r="A7" t="s">
        <v>880</v>
      </c>
      <c r="B7" t="s">
        <v>1448</v>
      </c>
      <c r="C7" t="s">
        <v>1443</v>
      </c>
      <c r="D7" t="str" cm="1">
        <f t="array" ref="D7">GetSystemFromTag(MotorMod[[#This Row],[Obj]])</f>
        <v>HVAC_SU01B</v>
      </c>
      <c r="E7" t="str">
        <f>SUBSTITUTE(MotorMod[[#This Row],[RealTag]],"-","_")</f>
        <v>VFD_SF1_SU01B_001</v>
      </c>
      <c r="F7" t="str">
        <f>"_" &amp; MotorMod[[#This Row],[Obj]]</f>
        <v>_VFD_SF1_SU01B_001</v>
      </c>
      <c r="G7" t="s">
        <v>0</v>
      </c>
      <c r="H7">
        <f t="shared" si="1"/>
        <v>5</v>
      </c>
      <c r="I7" t="s">
        <v>1585</v>
      </c>
      <c r="J7" t="s">
        <v>3367</v>
      </c>
      <c r="K7" t="str">
        <f>SUBSTITUTE(HMIPATH_MotorModulating,"$",MotorMod[[#This Row],[ID]])</f>
        <v>ObjMotorModulating.InOut[5]</v>
      </c>
      <c r="L7" t="str" cm="1">
        <f t="array" ref="L7">FMotorModulatingExt(MotorMod[[#This Row],[Obj]],MotorMod[[#This Row],[SubSystem]])</f>
        <v xml:space="preserve">#VFD_SF1_SU01B_001(supply:="VFD-SF1-SU01B-001_SUPPLY",_x000D_
serviceSwitch:="VFD-SF1-SU01B-001_SERVICE",_x000D_
thermicFeedback:="ModbusStations".VFD_SF1_SU01B_001.Data.Error."Temperature error",_x000D_
commError:="ModbusStations".VFD_SF1_SU01B_001.Station.Status.ErrorComm,_x000D_
fbRunning:=NOT "ModbusStations".VFD_SF1_SU01B_001.Data.Status.Stop,_x000D_
driveError:="StatnECBLUE_ErrorSignal"("ModbusStations"."VFD_SF1_SU01B_001".Data.Error),_x000D_
feedback:="ModbusStations".VFD_SF1_SU01B_001.Data.Speed,_x000D_
startCommand:="ModbusStations".VFD_SF1_SU01B_001.Data.ControlWord.Enable,_x000D_
setpoint:="ModbusStations".VFD_SF1_SU01B_001.Data.Reference,_x000D_
emergencyStop:=#Unit.AHU.Command.Emergency_stop,
          reset:=#Unit.AHU.Command.General_reset,
          Process:=#Unit.VFD_SF1_SU01B_001,
          InOut:=ObjAnalogMeasure.InOut[HVAC_SU01B],
          Parameters:="HVAC_SU01B"."VFD_SF1_SU01B_001".Parameters,
          Settings:="HVAC_SU01B"."VFD_SF1_SU01B_001".Settings,
          Statistic:="HVAC_SU01B"."VFD_SF1_SU01B_001".Statistics);
</v>
      </c>
      <c r="M7" t="str" cm="1">
        <f t="array" ref="M7">MUXMotorModulating(MotorMod[[#This Row],[Obj]],MotorMod[[#This Row],[SubSystem]])</f>
        <v xml:space="preserve">#VFD_SF1_SU01B_001(Object := "HVAC_SU01B".VFD_SF1_SU01B_001,
                InOut := "ObjMotorModulating".InOut[#_VFD_SF1_SU01B_001],
                Parameters:="ObjMotorModulating".Parameters[#_VFD_SF1_SU01B_001],
                Statistics:="ObjMotorModulating".Statistic[#_VFD_SF1_SU01B_001]);
</v>
      </c>
    </row>
    <row r="8" spans="1:14" x14ac:dyDescent="0.3">
      <c r="A8" t="s">
        <v>880</v>
      </c>
      <c r="B8" t="s">
        <v>1449</v>
      </c>
      <c r="C8" t="s">
        <v>1443</v>
      </c>
      <c r="D8" t="str" cm="1">
        <f t="array" ref="D8">GetSystemFromTag(MotorMod[[#This Row],[Obj]])</f>
        <v>HVAC_SU01B</v>
      </c>
      <c r="E8" t="str">
        <f>SUBSTITUTE(MotorMod[[#This Row],[RealTag]],"-","_")</f>
        <v>VFD_EF1_SU01B_001</v>
      </c>
      <c r="F8" t="str">
        <f>"_" &amp; MotorMod[[#This Row],[Obj]]</f>
        <v>_VFD_EF1_SU01B_001</v>
      </c>
      <c r="G8" t="s">
        <v>0</v>
      </c>
      <c r="H8">
        <f t="shared" si="1"/>
        <v>6</v>
      </c>
      <c r="I8" t="s">
        <v>1585</v>
      </c>
      <c r="J8" t="s">
        <v>3367</v>
      </c>
      <c r="K8" t="str">
        <f>SUBSTITUTE(HMIPATH_MotorModulating,"$",MotorMod[[#This Row],[ID]])</f>
        <v>ObjMotorModulating.InOut[6]</v>
      </c>
      <c r="L8" t="str" cm="1">
        <f t="array" ref="L8">FMotorModulatingExt(MotorMod[[#This Row],[Obj]],MotorMod[[#This Row],[SubSystem]])</f>
        <v xml:space="preserve">#VFD_EF1_SU01B_001(supply:="VFD-EF1-SU01B-001_SUPPLY",_x000D_
serviceSwitch:="VFD-EF1-SU01B-001_SERVICE",_x000D_
thermicFeedback:="ModbusStations".VFD_EF1_SU01B_001.Data.Error."Temperature error",_x000D_
commError:="ModbusStations".VFD_EF1_SU01B_001.Station.Status.ErrorComm,_x000D_
fbRunning:=NOT "ModbusStations".VFD_EF1_SU01B_001.Data.Status.Stop,_x000D_
driveError:="StatnECBLUE_ErrorSignal"("ModbusStations"."VFD_EF1_SU01B_001".Data.Error),_x000D_
feedback:="ModbusStations".VFD_EF1_SU01B_001.Data.Speed,_x000D_
startCommand:="ModbusStations".VFD_EF1_SU01B_001.Data.ControlWord.Enable,_x000D_
setpoint:="ModbusStations".VFD_EF1_SU01B_001.Data.Reference,_x000D_
emergencyStop:=#Unit.AHU.Command.Emergency_stop,
          reset:=#Unit.AHU.Command.General_reset,
          Process:=#Unit.VFD_EF1_SU01B_001,
          InOut:=ObjAnalogMeasure.InOut[HVAC_SU01B],
          Parameters:="HVAC_SU01B"."VFD_EF1_SU01B_001".Parameters,
          Settings:="HVAC_SU01B"."VFD_EF1_SU01B_001".Settings,
          Statistic:="HVAC_SU01B"."VFD_EF1_SU01B_001".Statistics);
</v>
      </c>
      <c r="M8" t="str" cm="1">
        <f t="array" ref="M8">MUXMotorModulating(MotorMod[[#This Row],[Obj]],MotorMod[[#This Row],[SubSystem]])</f>
        <v xml:space="preserve">#VFD_EF1_SU01B_001(Object := "HVAC_SU01B".VFD_EF1_SU01B_001,
                InOut := "ObjMotorModulating".InOut[#_VFD_EF1_SU01B_001],
                Parameters:="ObjMotorModulating".Parameters[#_VFD_EF1_SU01B_001],
                Statistics:="ObjMotorModulating".Statistic[#_VFD_EF1_SU01B_001]);
</v>
      </c>
    </row>
    <row r="9" spans="1:14" x14ac:dyDescent="0.3">
      <c r="A9" t="s">
        <v>880</v>
      </c>
      <c r="B9" t="s">
        <v>1022</v>
      </c>
      <c r="C9" t="s">
        <v>1442</v>
      </c>
      <c r="D9" t="str" cm="1">
        <f t="array" ref="D9">GetSystemFromTag(MotorMod[[#This Row],[Obj]])</f>
        <v>HVAC_R00103</v>
      </c>
      <c r="E9" t="str">
        <f>SUBSTITUTE(MotorMod[[#This Row],[RealTag]],"-","_")</f>
        <v>VFD_FU_00103</v>
      </c>
      <c r="F9" t="str">
        <f>"_" &amp; MotorMod[[#This Row],[Obj]]</f>
        <v>_VFD_FU_00103</v>
      </c>
      <c r="G9" t="s">
        <v>0</v>
      </c>
      <c r="H9">
        <f t="shared" si="1"/>
        <v>7</v>
      </c>
      <c r="I9" t="s">
        <v>1585</v>
      </c>
      <c r="J9" t="s">
        <v>3367</v>
      </c>
      <c r="K9" t="str">
        <f>SUBSTITUTE(HMIPATH_MotorModulating,"$",MotorMod[[#This Row],[ID]])</f>
        <v>ObjMotorModulating.InOut[7]</v>
      </c>
      <c r="L9" t="str" cm="1">
        <f t="array" ref="L9">FMotorModulatingExt(MotorMod[[#This Row],[Obj]],MotorMod[[#This Row],[SubSystem]])</f>
        <v xml:space="preserve">#VFD_FU_00103(supply:="VFD-FU-00103_SUPPLY",_x000D_
serviceSwitch:="VFD-FU-00103_SERVICE",_x000D_
thermicFeedback:="ModbusStations".VFD_FU_00103.Data.Error."Temperature error",_x000D_
commError:="ModbusStations".VFD_FU_00103.Station.Status.ErrorComm,_x000D_
fbRunning:=NOT "ModbusStations".VFD_FU_00103.Data.Status.Stop,_x000D_
driveError:="StatnECBLUE_ErrorSignal"("ModbusStations"."VFD_FU_00103".Data.Error),_x000D_
feedback:="ModbusStations".VFD_FU_00103.Data.Speed,_x000D_
startCommand:="ModbusStations".VFD_FU_00103.Data.ControlWord.Enable,_x000D_
setpoint:="ModbusStations".VFD_FU_00103.Data.Reference,_x000D_
emergencyStop:=#Unit.AHU.Command.Emergency_stop,
          reset:=#Unit.AHU.Command.General_reset,
          Process:=#Unit.VFD_FU_00103,
          InOut:=ObjAnalogMeasure.InOut[HVAC_R00103],
          Parameters:="HVAC_R00103"."VFD_FU_00103".Parameters,
          Settings:="HVAC_R00103"."VFD_FU_00103".Settings,
          Statistic:="HVAC_R00103"."VFD_FU_00103".Statistics);
</v>
      </c>
      <c r="M9" t="str" cm="1">
        <f t="array" ref="M9">MUXMotorModulating(MotorMod[[#This Row],[Obj]],MotorMod[[#This Row],[SubSystem]])</f>
        <v xml:space="preserve">#VFD_FU_00103(Object := "HVAC_R00103".VFD_FU_00103,
                InOut := "ObjMotorModulating".InOut[#_VFD_FU_00103],
                Parameters:="ObjMotorModulating".Parameters[#_VFD_FU_00103],
                Statistics:="ObjMotorModulating".Statistic[#_VFD_FU_00103]);
</v>
      </c>
    </row>
    <row r="10" spans="1:14" x14ac:dyDescent="0.3">
      <c r="A10" t="s">
        <v>880</v>
      </c>
      <c r="B10" t="s">
        <v>1023</v>
      </c>
      <c r="C10" t="s">
        <v>1442</v>
      </c>
      <c r="D10" t="str" cm="1">
        <f t="array" ref="D10">GetSystemFromTag(MotorMod[[#This Row],[Obj]])</f>
        <v>HVAC_R00104</v>
      </c>
      <c r="E10" t="str">
        <f>SUBSTITUTE(MotorMod[[#This Row],[RealTag]],"-","_")</f>
        <v>VFD_FU_00104</v>
      </c>
      <c r="F10" t="str">
        <f>"_" &amp; MotorMod[[#This Row],[Obj]]</f>
        <v>_VFD_FU_00104</v>
      </c>
      <c r="G10" t="s">
        <v>0</v>
      </c>
      <c r="H10">
        <f t="shared" si="1"/>
        <v>8</v>
      </c>
      <c r="I10" t="s">
        <v>1585</v>
      </c>
      <c r="J10" t="s">
        <v>3367</v>
      </c>
      <c r="K10" t="str">
        <f>SUBSTITUTE(HMIPATH_MotorModulating,"$",MotorMod[[#This Row],[ID]])</f>
        <v>ObjMotorModulating.InOut[8]</v>
      </c>
      <c r="L10" t="str" cm="1">
        <f t="array" ref="L10">FMotorModulatingExt(MotorMod[[#This Row],[Obj]],MotorMod[[#This Row],[SubSystem]])</f>
        <v xml:space="preserve">#VFD_FU_00104(supply:="VFD-FU-00104_SUPPLY",_x000D_
serviceSwitch:="VFD-FU-00104_SERVICE",_x000D_
thermicFeedback:="ModbusStations".VFD_FU_00104.Data.Error."Temperature error",_x000D_
commError:="ModbusStations".VFD_FU_00104.Station.Status.ErrorComm,_x000D_
fbRunning:=NOT "ModbusStations".VFD_FU_00104.Data.Status.Stop,_x000D_
driveError:="StatnECBLUE_ErrorSignal"("ModbusStations"."VFD_FU_00104".Data.Error),_x000D_
feedback:="ModbusStations".VFD_FU_00104.Data.Speed,_x000D_
startCommand:="ModbusStations".VFD_FU_00104.Data.ControlWord.Enable,_x000D_
setpoint:="ModbusStations".VFD_FU_00104.Data.Reference,_x000D_
emergencyStop:=#Unit.AHU.Command.Emergency_stop,
          reset:=#Unit.AHU.Command.General_reset,
          Process:=#Unit.VFD_FU_00104,
          InOut:=ObjAnalogMeasure.InOut[HVAC_R00104],
          Parameters:="HVAC_R00104"."VFD_FU_00104".Parameters,
          Settings:="HVAC_R00104"."VFD_FU_00104".Settings,
          Statistic:="HVAC_R00104"."VFD_FU_00104".Statistics);
</v>
      </c>
      <c r="M10" t="str" cm="1">
        <f t="array" ref="M10">MUXMotorModulating(MotorMod[[#This Row],[Obj]],MotorMod[[#This Row],[SubSystem]])</f>
        <v xml:space="preserve">#VFD_FU_00104(Object := "HVAC_R00104".VFD_FU_00104,
                InOut := "ObjMotorModulating".InOut[#_VFD_FU_00104],
                Parameters:="ObjMotorModulating".Parameters[#_VFD_FU_00104],
                Statistics:="ObjMotorModulating".Statistic[#_VFD_FU_00104]);
</v>
      </c>
    </row>
    <row r="11" spans="1:14" x14ac:dyDescent="0.3">
      <c r="A11" t="s">
        <v>880</v>
      </c>
      <c r="B11" t="s">
        <v>1024</v>
      </c>
      <c r="C11" t="s">
        <v>1442</v>
      </c>
      <c r="D11" t="str" cm="1">
        <f t="array" ref="D11">GetSystemFromTag(MotorMod[[#This Row],[Obj]])</f>
        <v>HVAC_R00115</v>
      </c>
      <c r="E11" t="str">
        <f>SUBSTITUTE(MotorMod[[#This Row],[RealTag]],"-","_")</f>
        <v>VFD_FU_00115</v>
      </c>
      <c r="F11" t="str">
        <f>"_" &amp; MotorMod[[#This Row],[Obj]]</f>
        <v>_VFD_FU_00115</v>
      </c>
      <c r="G11" t="s">
        <v>0</v>
      </c>
      <c r="H11">
        <f t="shared" si="1"/>
        <v>9</v>
      </c>
      <c r="I11" t="s">
        <v>1585</v>
      </c>
      <c r="J11" t="s">
        <v>3367</v>
      </c>
      <c r="K11" t="str">
        <f>SUBSTITUTE(HMIPATH_MotorModulating,"$",MotorMod[[#This Row],[ID]])</f>
        <v>ObjMotorModulating.InOut[9]</v>
      </c>
      <c r="L11" t="str" cm="1">
        <f t="array" ref="L11">FMotorModulatingExt(MotorMod[[#This Row],[Obj]],MotorMod[[#This Row],[SubSystem]])</f>
        <v xml:space="preserve">#VFD_FU_00115(supply:="VFD-FU-00115_SUPPLY",_x000D_
serviceSwitch:="VFD-FU-00115_SERVICE",_x000D_
thermicFeedback:="ModbusStations".VFD_FU_00115.Data.Error."Temperature error",_x000D_
commError:="ModbusStations".VFD_FU_00115.Station.Status.ErrorComm,_x000D_
fbRunning:=NOT "ModbusStations".VFD_FU_00115.Data.Status.Stop,_x000D_
driveError:="StatnECBLUE_ErrorSignal"("ModbusStations"."VFD_FU_00115".Data.Error),_x000D_
feedback:="ModbusStations".VFD_FU_00115.Data.Speed,_x000D_
startCommand:="ModbusStations".VFD_FU_00115.Data.ControlWord.Enable,_x000D_
setpoint:="ModbusStations".VFD_FU_00115.Data.Reference,_x000D_
emergencyStop:=#Unit.AHU.Command.Emergency_stop,
          reset:=#Unit.AHU.Command.General_reset,
          Process:=#Unit.VFD_FU_00115,
          InOut:=ObjAnalogMeasure.InOut[HVAC_R00115],
          Parameters:="HVAC_R00115"."VFD_FU_00115".Parameters,
          Settings:="HVAC_R00115"."VFD_FU_00115".Settings,
          Statistic:="HVAC_R00115"."VFD_FU_00115".Statistics);
</v>
      </c>
      <c r="M11" t="str" cm="1">
        <f t="array" ref="M11">MUXMotorModulating(MotorMod[[#This Row],[Obj]],MotorMod[[#This Row],[SubSystem]])</f>
        <v xml:space="preserve">#VFD_FU_00115(Object := "HVAC_R00115".VFD_FU_00115,
                InOut := "ObjMotorModulating".InOut[#_VFD_FU_00115],
                Parameters:="ObjMotorModulating".Parameters[#_VFD_FU_00115],
                Statistics:="ObjMotorModulating".Statistic[#_VFD_FU_00115]);
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478C1-6507-4E4D-B95E-45F319C363B7}">
  <sheetPr codeName="Sheet10">
    <tabColor theme="4" tint="-0.499984740745262"/>
  </sheetPr>
  <dimension ref="A1:N10"/>
  <sheetViews>
    <sheetView workbookViewId="0">
      <selection activeCell="G33" sqref="G33"/>
    </sheetView>
  </sheetViews>
  <sheetFormatPr defaultRowHeight="16.5" x14ac:dyDescent="0.3"/>
  <cols>
    <col min="1" max="1" width="16.625" bestFit="1" customWidth="1"/>
    <col min="2" max="3" width="19.5" bestFit="1" customWidth="1"/>
    <col min="4" max="4" width="20.25" bestFit="1" customWidth="1"/>
    <col min="5" max="5" width="19.25" bestFit="1" customWidth="1"/>
    <col min="6" max="6" width="7.375" bestFit="1" customWidth="1"/>
    <col min="7" max="7" width="16.375" bestFit="1" customWidth="1"/>
    <col min="8" max="8" width="36" customWidth="1"/>
    <col min="9" max="9" width="39.875" bestFit="1" customWidth="1"/>
    <col min="10" max="10" width="23.125" customWidth="1"/>
  </cols>
  <sheetData>
    <row r="1" spans="1:14" x14ac:dyDescent="0.3">
      <c r="A1" t="s">
        <v>141</v>
      </c>
      <c r="B1" t="s">
        <v>7</v>
      </c>
      <c r="C1" t="s">
        <v>132</v>
      </c>
      <c r="D1" s="3" t="s">
        <v>1609</v>
      </c>
      <c r="E1" t="s">
        <v>5</v>
      </c>
      <c r="F1" t="s">
        <v>2</v>
      </c>
      <c r="G1" t="s">
        <v>3</v>
      </c>
      <c r="H1" t="s">
        <v>4</v>
      </c>
      <c r="I1" t="s">
        <v>31</v>
      </c>
      <c r="J1" t="s">
        <v>34</v>
      </c>
      <c r="K1" t="s">
        <v>32</v>
      </c>
      <c r="L1" t="s">
        <v>33</v>
      </c>
      <c r="M1" t="s">
        <v>879</v>
      </c>
      <c r="N1" t="s">
        <v>162</v>
      </c>
    </row>
    <row r="2" spans="1:14" x14ac:dyDescent="0.3">
      <c r="A2" t="s">
        <v>144</v>
      </c>
      <c r="B2" t="s">
        <v>878</v>
      </c>
      <c r="D2" t="str" cm="1">
        <f t="array" ref="D2">GetSystemFromTag(ValveOnOff[[#This Row],[Obj]])</f>
        <v>N/A</v>
      </c>
      <c r="E2" t="str">
        <f>SUBSTITUTE(ValveOnOff[[#This Row],[RealTag]],"-","_")</f>
        <v>SPARE_OnOffValve_0</v>
      </c>
      <c r="F2" t="str">
        <f>"_" &amp;ValveOnOff[[#This Row],[Obj]]</f>
        <v>_SPARE_OnOffValve_0</v>
      </c>
      <c r="G2" t="s">
        <v>0</v>
      </c>
      <c r="H2">
        <f>ROW()-2</f>
        <v>0</v>
      </c>
      <c r="I2" t="s">
        <v>1585</v>
      </c>
      <c r="J2" t="s">
        <v>3367</v>
      </c>
      <c r="K2" t="str">
        <f>SUBSTITUTE(HMIPATH_ValveOnOff,"$",ValveOnOff[[#This Row],[ID]])</f>
        <v>ObjValveOnOff.InOut[0]</v>
      </c>
      <c r="L2" t="str" cm="1">
        <f t="array" ref="L2">FValveOnOff(ValveOnOff[[#This Row],[Obj]],ValveOnOff[[#This Row],[SubSystem]])</f>
        <v/>
      </c>
      <c r="M2" t="str" cm="1">
        <f t="array" ref="M2">MUXValveOnOff(ValveOnOff[[#This Row],[Obj]],ValveOnOff[[#This Row],[SubSystem]])</f>
        <v/>
      </c>
    </row>
    <row r="3" spans="1:14" x14ac:dyDescent="0.3">
      <c r="A3" t="s">
        <v>144</v>
      </c>
      <c r="B3" t="s">
        <v>1106</v>
      </c>
      <c r="C3" t="s">
        <v>1442</v>
      </c>
      <c r="D3" t="str" cm="1">
        <f t="array" ref="D3">GetSystemFromTag(ValveOnOff[[#This Row],[Obj]])</f>
        <v>HVAC_R00103</v>
      </c>
      <c r="E3" t="str">
        <f>SUBSTITUTE(ValveOnOff[[#This Row],[RealTag]],"-","_")</f>
        <v>CEM_00103_001</v>
      </c>
      <c r="F3" t="str">
        <f>"_" &amp;ValveOnOff[[#This Row],[Obj]]</f>
        <v>_CEM_00103_001</v>
      </c>
      <c r="G3" t="s">
        <v>0</v>
      </c>
      <c r="H3">
        <f t="shared" ref="H3:H8" si="0">ROW()-2</f>
        <v>1</v>
      </c>
      <c r="I3" t="s">
        <v>1585</v>
      </c>
      <c r="J3" t="s">
        <v>3367</v>
      </c>
      <c r="K3" t="str">
        <f>SUBSTITUTE(HMIPATH_ValveOnOff,"$",ValveOnOff[[#This Row],[ID]])</f>
        <v>ObjValveOnOff.InOut[1]</v>
      </c>
      <c r="L3" t="str" cm="1">
        <f t="array" ref="L3">FValveOnOff(ValveOnOff[[#This Row],[Obj]],ValveOnOff[[#This Row],[SubSystem]])</f>
        <v xml:space="preserve">#CEM_00103_001(fbOpen:="CEM-00103-001_OPEN",_x000D_
fbClosed:="CEM-00103-001_CLOSED",_x000D_
openCommand:="CEM-00103-001_CMD",_x000D_
reset:=#Unit.AHU.Command.General_reset,
           Process:=#Unit.CEM_00103_001,
          InOut:=HVAC_R00103,
          Parameters:="HVAC_R00103"."CEM_00103_001".Parameters,
          Settings:="HVAC_R00103"."CEM_00103_001".Settings,
          Statistic:="HVAC_R00103"."CEM_00103_001".Statistics);
</v>
      </c>
      <c r="M3" t="str" cm="1">
        <f t="array" ref="M3">MUXValveOnOff(ValveOnOff[[#This Row],[Obj]],ValveOnOff[[#This Row],[SubSystem]])</f>
        <v xml:space="preserve">#CEM_00103_001(Object := "HVAC_R00103".CEM_00103_001,
                InOut := "ObjValveOnOff".InOut[#_CEM_00103_001],
                Parameters:="ObjValveOnOff".Parameters[#_CEM_00103_001],
                Statistics:="ObjValveOnOff".Statistic[#_CEM_00103_001]);
</v>
      </c>
    </row>
    <row r="4" spans="1:14" x14ac:dyDescent="0.3">
      <c r="A4" t="s">
        <v>144</v>
      </c>
      <c r="B4" t="s">
        <v>1110</v>
      </c>
      <c r="C4" t="s">
        <v>1442</v>
      </c>
      <c r="D4" t="str" cm="1">
        <f t="array" ref="D4">GetSystemFromTag(ValveOnOff[[#This Row],[Obj]])</f>
        <v>HVAC_R00103</v>
      </c>
      <c r="E4" t="str">
        <f>SUBSTITUTE(ValveOnOff[[#This Row],[RealTag]],"-","_")</f>
        <v>CEM_00103_002</v>
      </c>
      <c r="F4" t="str">
        <f>"_" &amp;ValveOnOff[[#This Row],[Obj]]</f>
        <v>_CEM_00103_002</v>
      </c>
      <c r="G4" t="s">
        <v>0</v>
      </c>
      <c r="H4">
        <f t="shared" si="0"/>
        <v>2</v>
      </c>
      <c r="I4" t="s">
        <v>1585</v>
      </c>
      <c r="J4" t="s">
        <v>3367</v>
      </c>
      <c r="K4" t="str">
        <f>SUBSTITUTE(HMIPATH_ValveOnOff,"$",ValveOnOff[[#This Row],[ID]])</f>
        <v>ObjValveOnOff.InOut[2]</v>
      </c>
      <c r="L4" t="str" cm="1">
        <f t="array" ref="L4">FValveOnOff(ValveOnOff[[#This Row],[Obj]],ValveOnOff[[#This Row],[SubSystem]])</f>
        <v xml:space="preserve">#CEM_00103_002(fbOpen:="CEM-00103-002_OPEN",_x000D_
fbClosed:="CEM-00103-002_CLOSED",_x000D_
openCommand:="CEM-00103-002_CMD",_x000D_
reset:=#Unit.AHU.Command.General_reset,
           Process:=#Unit.CEM_00103_002,
          InOut:=HVAC_R00103,
          Parameters:="HVAC_R00103"."CEM_00103_002".Parameters,
          Settings:="HVAC_R00103"."CEM_00103_002".Settings,
          Statistic:="HVAC_R00103"."CEM_00103_002".Statistics);
</v>
      </c>
      <c r="M4" t="str" cm="1">
        <f t="array" ref="M4">MUXValveOnOff(ValveOnOff[[#This Row],[Obj]],ValveOnOff[[#This Row],[SubSystem]])</f>
        <v xml:space="preserve">#CEM_00103_002(Object := "HVAC_R00103".CEM_00103_002,
                InOut := "ObjValveOnOff".InOut[#_CEM_00103_002],
                Parameters:="ObjValveOnOff".Parameters[#_CEM_00103_002],
                Statistics:="ObjValveOnOff".Statistic[#_CEM_00103_002]);
</v>
      </c>
    </row>
    <row r="5" spans="1:14" x14ac:dyDescent="0.3">
      <c r="A5" t="s">
        <v>144</v>
      </c>
      <c r="B5" t="s">
        <v>1112</v>
      </c>
      <c r="C5" t="s">
        <v>1442</v>
      </c>
      <c r="D5" t="str" cm="1">
        <f t="array" ref="D5">GetSystemFromTag(ValveOnOff[[#This Row],[Obj]])</f>
        <v>HVAC_R00104</v>
      </c>
      <c r="E5" t="str">
        <f>SUBSTITUTE(ValveOnOff[[#This Row],[RealTag]],"-","_")</f>
        <v>CEM_00104_001</v>
      </c>
      <c r="F5" t="str">
        <f>"_" &amp;ValveOnOff[[#This Row],[Obj]]</f>
        <v>_CEM_00104_001</v>
      </c>
      <c r="G5" t="s">
        <v>0</v>
      </c>
      <c r="H5">
        <f t="shared" si="0"/>
        <v>3</v>
      </c>
      <c r="I5" t="s">
        <v>1585</v>
      </c>
      <c r="J5" t="s">
        <v>3367</v>
      </c>
      <c r="K5" t="str">
        <f>SUBSTITUTE(HMIPATH_ValveOnOff,"$",ValveOnOff[[#This Row],[ID]])</f>
        <v>ObjValveOnOff.InOut[3]</v>
      </c>
      <c r="L5" t="str" cm="1">
        <f t="array" ref="L5">FValveOnOff(ValveOnOff[[#This Row],[Obj]],ValveOnOff[[#This Row],[SubSystem]])</f>
        <v xml:space="preserve">#CEM_00104_001(fbOpen:="CEM-00104-001_OPEN",_x000D_
fbClosed:="CEM-00104-001_CLOSED",_x000D_
openCommand:="CEM-00104-001_CMD",_x000D_
reset:=#Unit.AHU.Command.General_reset,
           Process:=#Unit.CEM_00104_001,
          InOut:=HVAC_R00104,
          Parameters:="HVAC_R00104"."CEM_00104_001".Parameters,
          Settings:="HVAC_R00104"."CEM_00104_001".Settings,
          Statistic:="HVAC_R00104"."CEM_00104_001".Statistics);
</v>
      </c>
      <c r="M5" t="str" cm="1">
        <f t="array" ref="M5">MUXValveOnOff(ValveOnOff[[#This Row],[Obj]],ValveOnOff[[#This Row],[SubSystem]])</f>
        <v xml:space="preserve">#CEM_00104_001(Object := "HVAC_R00104".CEM_00104_001,
                InOut := "ObjValveOnOff".InOut[#_CEM_00104_001],
                Parameters:="ObjValveOnOff".Parameters[#_CEM_00104_001],
                Statistics:="ObjValveOnOff".Statistic[#_CEM_00104_001]);
</v>
      </c>
    </row>
    <row r="6" spans="1:14" x14ac:dyDescent="0.3">
      <c r="A6" t="s">
        <v>144</v>
      </c>
      <c r="B6" t="s">
        <v>1113</v>
      </c>
      <c r="C6" t="s">
        <v>1442</v>
      </c>
      <c r="D6" t="str" cm="1">
        <f t="array" ref="D6">GetSystemFromTag(ValveOnOff[[#This Row],[Obj]])</f>
        <v>HVAC_R00104</v>
      </c>
      <c r="E6" t="str">
        <f>SUBSTITUTE(ValveOnOff[[#This Row],[RealTag]],"-","_")</f>
        <v>CEM_00104_002</v>
      </c>
      <c r="F6" t="str">
        <f>"_" &amp;ValveOnOff[[#This Row],[Obj]]</f>
        <v>_CEM_00104_002</v>
      </c>
      <c r="G6" t="s">
        <v>0</v>
      </c>
      <c r="H6">
        <f t="shared" si="0"/>
        <v>4</v>
      </c>
      <c r="I6" t="s">
        <v>1585</v>
      </c>
      <c r="J6" t="s">
        <v>3367</v>
      </c>
      <c r="K6" t="str">
        <f>SUBSTITUTE(HMIPATH_ValveOnOff,"$",ValveOnOff[[#This Row],[ID]])</f>
        <v>ObjValveOnOff.InOut[4]</v>
      </c>
      <c r="L6" t="str" cm="1">
        <f t="array" ref="L6">FValveOnOff(ValveOnOff[[#This Row],[Obj]],ValveOnOff[[#This Row],[SubSystem]])</f>
        <v xml:space="preserve">#CEM_00104_002(fbOpen:="CEM-00104-002_OPEN",_x000D_
fbClosed:="CEM-00104-002_CLOSED",_x000D_
openCommand:="CEM-00104-002_CMD",_x000D_
reset:=#Unit.AHU.Command.General_reset,
           Process:=#Unit.CEM_00104_002,
          InOut:=HVAC_R00104,
          Parameters:="HVAC_R00104"."CEM_00104_002".Parameters,
          Settings:="HVAC_R00104"."CEM_00104_002".Settings,
          Statistic:="HVAC_R00104"."CEM_00104_002".Statistics);
</v>
      </c>
      <c r="M6" t="str" cm="1">
        <f t="array" ref="M6">MUXValveOnOff(ValveOnOff[[#This Row],[Obj]],ValveOnOff[[#This Row],[SubSystem]])</f>
        <v xml:space="preserve">#CEM_00104_002(Object := "HVAC_R00104".CEM_00104_002,
                InOut := "ObjValveOnOff".InOut[#_CEM_00104_002],
                Parameters:="ObjValveOnOff".Parameters[#_CEM_00104_002],
                Statistics:="ObjValveOnOff".Statistic[#_CEM_00104_002]);
</v>
      </c>
    </row>
    <row r="7" spans="1:14" x14ac:dyDescent="0.3">
      <c r="A7" t="s">
        <v>144</v>
      </c>
      <c r="B7" t="s">
        <v>1114</v>
      </c>
      <c r="C7" t="s">
        <v>1442</v>
      </c>
      <c r="D7" t="str" cm="1">
        <f t="array" ref="D7">GetSystemFromTag(ValveOnOff[[#This Row],[Obj]])</f>
        <v>HVAC_R00115</v>
      </c>
      <c r="E7" t="str">
        <f>SUBSTITUTE(ValveOnOff[[#This Row],[RealTag]],"-","_")</f>
        <v>CEM_00115_001</v>
      </c>
      <c r="F7" t="str">
        <f>"_" &amp;ValveOnOff[[#This Row],[Obj]]</f>
        <v>_CEM_00115_001</v>
      </c>
      <c r="G7" t="s">
        <v>0</v>
      </c>
      <c r="H7">
        <f t="shared" si="0"/>
        <v>5</v>
      </c>
      <c r="I7" t="s">
        <v>1585</v>
      </c>
      <c r="J7" t="s">
        <v>3367</v>
      </c>
      <c r="K7" t="str">
        <f>SUBSTITUTE(HMIPATH_ValveOnOff,"$",ValveOnOff[[#This Row],[ID]])</f>
        <v>ObjValveOnOff.InOut[5]</v>
      </c>
      <c r="L7" t="str" cm="1">
        <f t="array" ref="L7">FValveOnOff(ValveOnOff[[#This Row],[Obj]],ValveOnOff[[#This Row],[SubSystem]])</f>
        <v xml:space="preserve">#CEM_00115_001(fbOpen:="CEM-00115-001_OPEN",_x000D_
fbClosed:="CEM-00115-001_CLOSED",_x000D_
openCommand:="CEM-00115-001_CMD",_x000D_
reset:=#Unit.AHU.Command.General_reset,
           Process:=#Unit.CEM_00115_001,
          InOut:=HVAC_R00115,
          Parameters:="HVAC_R00115"."CEM_00115_001".Parameters,
          Settings:="HVAC_R00115"."CEM_00115_001".Settings,
          Statistic:="HVAC_R00115"."CEM_00115_001".Statistics);
</v>
      </c>
      <c r="M7" t="str" cm="1">
        <f t="array" ref="M7">MUXValveOnOff(ValveOnOff[[#This Row],[Obj]],ValveOnOff[[#This Row],[SubSystem]])</f>
        <v xml:space="preserve">#CEM_00115_001(Object := "HVAC_R00115".CEM_00115_001,
                InOut := "ObjValveOnOff".InOut[#_CEM_00115_001],
                Parameters:="ObjValveOnOff".Parameters[#_CEM_00115_001],
                Statistics:="ObjValveOnOff".Statistic[#_CEM_00115_001]);
</v>
      </c>
    </row>
    <row r="8" spans="1:14" x14ac:dyDescent="0.3">
      <c r="A8" t="s">
        <v>144</v>
      </c>
      <c r="B8" t="s">
        <v>1115</v>
      </c>
      <c r="C8" t="s">
        <v>1442</v>
      </c>
      <c r="D8" t="str" cm="1">
        <f t="array" ref="D8">GetSystemFromTag(ValveOnOff[[#This Row],[Obj]])</f>
        <v>HVAC_R00115</v>
      </c>
      <c r="E8" t="str">
        <f>SUBSTITUTE(ValveOnOff[[#This Row],[RealTag]],"-","_")</f>
        <v>CEM_00115_002</v>
      </c>
      <c r="F8" t="str">
        <f>"_" &amp;ValveOnOff[[#This Row],[Obj]]</f>
        <v>_CEM_00115_002</v>
      </c>
      <c r="G8" t="s">
        <v>0</v>
      </c>
      <c r="H8">
        <f t="shared" si="0"/>
        <v>6</v>
      </c>
      <c r="I8" t="s">
        <v>1585</v>
      </c>
      <c r="J8" t="s">
        <v>3367</v>
      </c>
      <c r="K8" t="str">
        <f>SUBSTITUTE(HMIPATH_ValveOnOff,"$",ValveOnOff[[#This Row],[ID]])</f>
        <v>ObjValveOnOff.InOut[6]</v>
      </c>
      <c r="L8" t="str" cm="1">
        <f t="array" ref="L8">FValveOnOff(ValveOnOff[[#This Row],[Obj]],ValveOnOff[[#This Row],[SubSystem]])</f>
        <v xml:space="preserve">#CEM_00115_002(fbOpen:="CEM-00115-002_OPEN",_x000D_
fbClosed:="CEM-00115-002_CLOSED",_x000D_
openCommand:="CEM-00115-002_CMD",_x000D_
reset:=#Unit.AHU.Command.General_reset,
           Process:=#Unit.CEM_00115_002,
          InOut:=HVAC_R00115,
          Parameters:="HVAC_R00115"."CEM_00115_002".Parameters,
          Settings:="HVAC_R00115"."CEM_00115_002".Settings,
          Statistic:="HVAC_R00115"."CEM_00115_002".Statistics);
</v>
      </c>
      <c r="M8" t="str" cm="1">
        <f t="array" ref="M8">MUXValveOnOff(ValveOnOff[[#This Row],[Obj]],ValveOnOff[[#This Row],[SubSystem]])</f>
        <v xml:space="preserve">#CEM_00115_002(Object := "HVAC_R00115".CEM_00115_002,
                InOut := "ObjValveOnOff".InOut[#_CEM_00115_002],
                Parameters:="ObjValveOnOff".Parameters[#_CEM_00115_002],
                Statistics:="ObjValveOnOff".Statistic[#_CEM_00115_002]);
</v>
      </c>
    </row>
    <row r="9" spans="1:14" x14ac:dyDescent="0.3">
      <c r="A9" t="s">
        <v>144</v>
      </c>
      <c r="B9" t="s">
        <v>1481</v>
      </c>
      <c r="C9" t="s">
        <v>1443</v>
      </c>
      <c r="D9" t="str" cm="1">
        <f t="array" ref="D9">GetSystemFromTag(ValveOnOff[[#This Row],[Obj]])</f>
        <v>HVAC_SU01B</v>
      </c>
      <c r="E9" t="str">
        <f>SUBSTITUTE(ValveOnOff[[#This Row],[RealTag]],"-","_")</f>
        <v>CEM_SU01B_001</v>
      </c>
      <c r="F9" t="str">
        <f>"_" &amp;ValveOnOff[[#This Row],[Obj]]</f>
        <v>_CEM_SU01B_001</v>
      </c>
      <c r="G9" t="s">
        <v>0</v>
      </c>
      <c r="H9">
        <f t="shared" ref="H9:H10" si="1">ROW()-2</f>
        <v>7</v>
      </c>
      <c r="I9" t="s">
        <v>1585</v>
      </c>
      <c r="J9" t="s">
        <v>3367</v>
      </c>
      <c r="K9" t="str">
        <f>SUBSTITUTE(HMIPATH_ValveOnOff,"$",ValveOnOff[[#This Row],[ID]])</f>
        <v>ObjValveOnOff.InOut[7]</v>
      </c>
      <c r="L9" t="str" cm="1">
        <f t="array" ref="L9">FValveOnOff(ValveOnOff[[#This Row],[Obj]],ValveOnOff[[#This Row],[SubSystem]])</f>
        <v xml:space="preserve">#CEM_SU01B_001(fbOpen:="CEM-SU01B-001_OPEN",_x000D_
fbClosed:="CEM-SU01B-001_CLOSED",_x000D_
openCommand:="CEM-SU01B-001_CMD",_x000D_
reset:=#Unit.AHU.Command.General_reset,
           Process:=#Unit.CEM_SU01B_001,
          InOut:=HVAC_SU01B,
          Parameters:="HVAC_SU01B"."CEM_SU01B_001".Parameters,
          Settings:="HVAC_SU01B"."CEM_SU01B_001".Settings,
          Statistic:="HVAC_SU01B"."CEM_SU01B_001".Statistics);
</v>
      </c>
      <c r="M9" t="str" cm="1">
        <f t="array" ref="M9">MUXValveOnOff(ValveOnOff[[#This Row],[Obj]],ValveOnOff[[#This Row],[SubSystem]])</f>
        <v xml:space="preserve">#CEM_SU01B_001(Object := "HVAC_SU01B".CEM_SU01B_001,
                InOut := "ObjValveOnOff".InOut[#_CEM_SU01B_001],
                Parameters:="ObjValveOnOff".Parameters[#_CEM_SU01B_001],
                Statistics:="ObjValveOnOff".Statistic[#_CEM_SU01B_001]);
</v>
      </c>
    </row>
    <row r="10" spans="1:14" x14ac:dyDescent="0.3">
      <c r="A10" t="s">
        <v>144</v>
      </c>
      <c r="B10" t="s">
        <v>1483</v>
      </c>
      <c r="C10" t="s">
        <v>1443</v>
      </c>
      <c r="D10" t="str" cm="1">
        <f t="array" ref="D10">GetSystemFromTag(ValveOnOff[[#This Row],[Obj]])</f>
        <v>HVAC_SU01B</v>
      </c>
      <c r="E10" t="str">
        <f>SUBSTITUTE(ValveOnOff[[#This Row],[RealTag]],"-","_")</f>
        <v>CEM_SU01B_003</v>
      </c>
      <c r="F10" t="str">
        <f>"_" &amp;ValveOnOff[[#This Row],[Obj]]</f>
        <v>_CEM_SU01B_003</v>
      </c>
      <c r="G10" t="s">
        <v>0</v>
      </c>
      <c r="H10">
        <f t="shared" si="1"/>
        <v>8</v>
      </c>
      <c r="I10" t="s">
        <v>1585</v>
      </c>
      <c r="J10" t="s">
        <v>3367</v>
      </c>
      <c r="K10" t="str">
        <f>SUBSTITUTE(HMIPATH_ValveOnOff,"$",ValveOnOff[[#This Row],[ID]])</f>
        <v>ObjValveOnOff.InOut[8]</v>
      </c>
      <c r="L10" t="str" cm="1">
        <f t="array" ref="L10">FValveOnOff(ValveOnOff[[#This Row],[Obj]],ValveOnOff[[#This Row],[SubSystem]])</f>
        <v xml:space="preserve">#CEM_SU01B_003(fbOpen:="CEM-SU01B-003_OPEN",_x000D_
fbClosed:="CEM-SU01B-003_CLOSED",_x000D_
openCommand:="CEM-SU01B-003_CMD",_x000D_
reset:=#Unit.AHU.Command.General_reset,
           Process:=#Unit.CEM_SU01B_003,
          InOut:=HVAC_SU01B,
          Parameters:="HVAC_SU01B"."CEM_SU01B_003".Parameters,
          Settings:="HVAC_SU01B"."CEM_SU01B_003".Settings,
          Statistic:="HVAC_SU01B"."CEM_SU01B_003".Statistics);
</v>
      </c>
      <c r="M10" t="str" cm="1">
        <f t="array" ref="M10">MUXValveOnOff(ValveOnOff[[#This Row],[Obj]],ValveOnOff[[#This Row],[SubSystem]])</f>
        <v xml:space="preserve">#CEM_SU01B_003(Object := "HVAC_SU01B".CEM_SU01B_003,
                InOut := "ObjValveOnOff".InOut[#_CEM_SU01B_003],
                Parameters:="ObjValveOnOff".Parameters[#_CEM_SU01B_003],
                Statistics:="ObjValveOnOff".Statistic[#_CEM_SU01B_003]);
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8EEE-FA23-405F-B96E-A3E73C1B3FAA}">
  <sheetPr codeName="Sheet6">
    <tabColor theme="4" tint="-0.499984740745262"/>
  </sheetPr>
  <dimension ref="A1:N62"/>
  <sheetViews>
    <sheetView workbookViewId="0">
      <selection activeCell="L19" sqref="L19"/>
    </sheetView>
  </sheetViews>
  <sheetFormatPr defaultRowHeight="16.5" x14ac:dyDescent="0.3"/>
  <cols>
    <col min="1" max="1" width="21.5" bestFit="1" customWidth="1"/>
    <col min="2" max="2" width="19.375" style="3" bestFit="1" customWidth="1"/>
    <col min="3" max="3" width="9.5" bestFit="1" customWidth="1"/>
    <col min="4" max="4" width="19.375" bestFit="1" customWidth="1"/>
    <col min="5" max="5" width="20.125" bestFit="1" customWidth="1"/>
    <col min="6" max="6" width="8.5" bestFit="1" customWidth="1"/>
    <col min="7" max="7" width="5.125" bestFit="1" customWidth="1"/>
    <col min="8" max="8" width="4.75" customWidth="1"/>
    <col min="9" max="9" width="21.5" customWidth="1"/>
    <col min="10" max="10" width="13.625" customWidth="1"/>
    <col min="11" max="11" width="13.125" customWidth="1"/>
    <col min="12" max="12" width="41.125" customWidth="1"/>
  </cols>
  <sheetData>
    <row r="1" spans="1:14" x14ac:dyDescent="0.3">
      <c r="A1" t="s">
        <v>141</v>
      </c>
      <c r="B1" t="s">
        <v>7</v>
      </c>
      <c r="C1" s="3" t="s">
        <v>132</v>
      </c>
      <c r="D1" s="3" t="s">
        <v>1609</v>
      </c>
      <c r="E1" t="s">
        <v>5</v>
      </c>
      <c r="F1" t="s">
        <v>2</v>
      </c>
      <c r="G1" t="s">
        <v>3</v>
      </c>
      <c r="H1" t="s">
        <v>4</v>
      </c>
      <c r="I1" t="s">
        <v>31</v>
      </c>
      <c r="J1" t="s">
        <v>34</v>
      </c>
      <c r="K1" t="s">
        <v>32</v>
      </c>
      <c r="L1" t="s">
        <v>33</v>
      </c>
      <c r="M1" t="s">
        <v>879</v>
      </c>
      <c r="N1" t="s">
        <v>162</v>
      </c>
    </row>
    <row r="2" spans="1:14" x14ac:dyDescent="0.3">
      <c r="A2" t="s">
        <v>145</v>
      </c>
      <c r="B2" t="s">
        <v>876</v>
      </c>
      <c r="C2" s="3"/>
      <c r="D2" t="str" cm="1">
        <f t="array" ref="D2">GetSystemFromTag(ValveMod[[#This Row],[Obj]])</f>
        <v>N/A</v>
      </c>
      <c r="E2" t="str">
        <f>SUBSTITUTE(ValveMod[[#This Row],[RealTag]],"-","_")</f>
        <v>SPARE_ModValve_0</v>
      </c>
      <c r="F2" t="str">
        <f>"_" &amp; ValveMod[[#This Row],[Obj]]</f>
        <v>_SPARE_ModValve_0</v>
      </c>
      <c r="G2" t="s">
        <v>0</v>
      </c>
      <c r="H2">
        <f>ROW()-2</f>
        <v>0</v>
      </c>
      <c r="I2" t="s">
        <v>1585</v>
      </c>
      <c r="J2" t="s">
        <v>3367</v>
      </c>
      <c r="K2" t="str">
        <f>SUBSTITUTE(HMIPATH_ValveModulating,"$",ValveMod[[#This Row],[ID]])</f>
        <v>ObjValveModulating.InOut[0]</v>
      </c>
      <c r="L2" t="str" cm="1">
        <f t="array" ref="L2">FValveModulating(ValveMod[[#This Row],[Obj]],ValveMod[[#This Row],[SubSystem]])</f>
        <v/>
      </c>
      <c r="M2" t="str" cm="1">
        <f t="array" ref="M2">MUXValveModulating(ValveMod[[#This Row],[Obj]],ValveMod[[#This Row],[SubSystem]])</f>
        <v/>
      </c>
      <c r="N2" t="str" cm="1">
        <f t="array" ref="N2">ValveAMS(ValveMod[[#This Row],[Tag]])</f>
        <v/>
      </c>
    </row>
    <row r="3" spans="1:14" x14ac:dyDescent="0.3">
      <c r="A3" t="s">
        <v>145</v>
      </c>
      <c r="B3" t="s">
        <v>1472</v>
      </c>
      <c r="C3" t="s">
        <v>1442</v>
      </c>
      <c r="D3" t="str" cm="1">
        <f t="array" ref="D3">GetSystemFromTag(ValveMod[[#This Row],[Obj]])</f>
        <v>HVAC_SU01</v>
      </c>
      <c r="E3" t="str">
        <f>SUBSTITUTE(ValveMod[[#This Row],[RealTag]],"-","_")</f>
        <v>CAV_SU01_001</v>
      </c>
      <c r="F3" t="str">
        <f>"_" &amp; ValveMod[[#This Row],[Obj]]</f>
        <v>_CAV_SU01_001</v>
      </c>
      <c r="G3" t="s">
        <v>0</v>
      </c>
      <c r="H3">
        <f t="shared" ref="H3:H4" si="0">ROW()-2</f>
        <v>1</v>
      </c>
      <c r="I3" t="s">
        <v>1585</v>
      </c>
      <c r="J3" t="s">
        <v>3367</v>
      </c>
      <c r="K3" t="str">
        <f>SUBSTITUTE(HMIPATH_ValveModulating,"$",ValveMod[[#This Row],[ID]])</f>
        <v>ObjValveModulating.InOut[1]</v>
      </c>
      <c r="L3" t="str" cm="1">
        <f t="array" ref="L3">FValveModulating(ValveMod[[#This Row],[Obj]],ValveMod[[#This Row],[SubSystem]])</f>
        <v xml:space="preserve">#CAV_SU01_001(comError:="ModbusStations".CAV_SU01_001.Station.Status.ErrorComm,_x000D_
fbOpen:=CommDamperOpen(threshold:=#CAV_SU01_001.openThreshold, Fbk:="ModbusStations".CAV_SU01_001.Data.Fbk),_x000D_
fbClosed:=CommDamperClosed(threshold:=#CAV_SU01_001.closedThreshold, Fbk:="ModbusStations".CAV_SU01_001.Data.Fbk),_x000D_
feedback:="ModbusStations".CAV_SU01_001.Data.Fbk.RelativeVolumetricFlow,_x000D_
reference:="ModbusStations".CAV_SU01_001.Data.Cmd.Setpoint,_x000D_
reset:=#Unit.AHU.Command.General_reset,
           Process:=#Unit.CAV_SU01_001,
          InOut:=HVAC_SU01,
          Parameters:="HVAC_SU01"."CAV_SU01_001".Parameters,
          Settings:="HVAC_SU01"."CAV_SU01_001".Settings,
          Statistic:="HVAC_SU01"."CAV_SU01_001".Statistics);
</v>
      </c>
      <c r="M3" t="str" cm="1">
        <f t="array" ref="M3">MUXValveModulating(ValveMod[[#This Row],[Obj]],ValveMod[[#This Row],[SubSystem]])</f>
        <v xml:space="preserve">#CAV_SU01_001(Object := "HVAC_SU01".CAV_SU01_001,
                InOut := "ObjValveModulating".InOut[#_CAV_SU01_001],
                Parameters:="ObjValveModulating".Parameters[#_CAV_SU01_001],
                Statistics:="ObjValveModulating".Statistic[#_CAV_SU01_001]);
</v>
      </c>
      <c r="N3" t="str" cm="1">
        <f t="array" ref="N3">ValveAMS(ValveMod[[#This Row],[Tag]])</f>
        <v xml:space="preserve">"AlarmWarningAMS"(Base:=#Valve.InOut[_CAV_SU01_001].Base,
                  ConfigAMS:=#Valve.AMS[_CAV_SU01_001],
                  ResultAMS:=#Unit.AMS);
</v>
      </c>
    </row>
    <row r="4" spans="1:14" x14ac:dyDescent="0.3">
      <c r="A4" t="s">
        <v>145</v>
      </c>
      <c r="B4" t="s">
        <v>1473</v>
      </c>
      <c r="C4" t="s">
        <v>1442</v>
      </c>
      <c r="D4" t="str" cm="1">
        <f t="array" ref="D4">GetSystemFromTag(ValveMod[[#This Row],[Obj]])</f>
        <v>HVAC_SU01</v>
      </c>
      <c r="E4" t="str">
        <f>SUBSTITUTE(ValveMod[[#This Row],[RealTag]],"-","_")</f>
        <v>CAV_SU01_002</v>
      </c>
      <c r="F4" t="str">
        <f>"_" &amp; ValveMod[[#This Row],[Obj]]</f>
        <v>_CAV_SU01_002</v>
      </c>
      <c r="G4" t="s">
        <v>0</v>
      </c>
      <c r="H4">
        <f t="shared" si="0"/>
        <v>2</v>
      </c>
      <c r="I4" t="s">
        <v>1585</v>
      </c>
      <c r="J4" t="s">
        <v>3367</v>
      </c>
      <c r="K4" t="str">
        <f>SUBSTITUTE(HMIPATH_ValveModulating,"$",ValveMod[[#This Row],[ID]])</f>
        <v>ObjValveModulating.InOut[2]</v>
      </c>
      <c r="L4" t="str" cm="1">
        <f t="array" ref="L4">FValveModulating(ValveMod[[#This Row],[Obj]],ValveMod[[#This Row],[SubSystem]])</f>
        <v xml:space="preserve">#CAV_SU01_002(comError:="ModbusStations".CAV_SU01_002.Station.Status.ErrorComm,_x000D_
fbOpen:=CommDamperOpen(threshold:=#CAV_SU01_002.openThreshold, Fbk:="ModbusStations".CAV_SU01_002.Data.Fbk),_x000D_
fbClosed:=CommDamperClosed(threshold:=#CAV_SU01_002.closedThreshold, Fbk:="ModbusStations".CAV_SU01_002.Data.Fbk),_x000D_
feedback:="ModbusStations".CAV_SU01_002.Data.Fbk.RelativeVolumetricFlow,_x000D_
reference:="ModbusStations".CAV_SU01_002.Data.Cmd.Setpoint,_x000D_
reset:=#Unit.AHU.Command.General_reset,
           Process:=#Unit.CAV_SU01_002,
          InOut:=HVAC_SU01,
          Parameters:="HVAC_SU01"."CAV_SU01_002".Parameters,
          Settings:="HVAC_SU01"."CAV_SU01_002".Settings,
          Statistic:="HVAC_SU01"."CAV_SU01_002".Statistics);
</v>
      </c>
      <c r="M4" t="str" cm="1">
        <f t="array" ref="M4">MUXValveModulating(ValveMod[[#This Row],[Obj]],ValveMod[[#This Row],[SubSystem]])</f>
        <v xml:space="preserve">#CAV_SU01_002(Object := "HVAC_SU01".CAV_SU01_002,
                InOut := "ObjValveModulating".InOut[#_CAV_SU01_002],
                Parameters:="ObjValveModulating".Parameters[#_CAV_SU01_002],
                Statistics:="ObjValveModulating".Statistic[#_CAV_SU01_002]);
</v>
      </c>
      <c r="N4" t="str" cm="1">
        <f t="array" ref="N4">ValveAMS(ValveMod[[#This Row],[Tag]])</f>
        <v xml:space="preserve">"AlarmWarningAMS"(Base:=#Valve.InOut[_CAV_SU01_002].Base,
                  ConfigAMS:=#Valve.AMS[_CAV_SU01_002],
                  ResultAMS:=#Unit.AMS);
</v>
      </c>
    </row>
    <row r="5" spans="1:14" x14ac:dyDescent="0.3">
      <c r="A5" t="s">
        <v>145</v>
      </c>
      <c r="B5" t="s">
        <v>1474</v>
      </c>
      <c r="C5" t="s">
        <v>1442</v>
      </c>
      <c r="D5" t="str" cm="1">
        <f t="array" ref="D5">GetSystemFromTag(ValveMod[[#This Row],[Obj]])</f>
        <v>HVAC_SU01</v>
      </c>
      <c r="E5" t="str">
        <f>SUBSTITUTE(ValveMod[[#This Row],[RealTag]],"-","_")</f>
        <v>CAV_SU01_003</v>
      </c>
      <c r="F5" t="str">
        <f>"_" &amp; ValveMod[[#This Row],[Obj]]</f>
        <v>_CAV_SU01_003</v>
      </c>
      <c r="G5" t="s">
        <v>0</v>
      </c>
      <c r="H5">
        <f t="shared" ref="H5:H6" si="1">ROW()-2</f>
        <v>3</v>
      </c>
      <c r="I5" t="s">
        <v>1585</v>
      </c>
      <c r="J5" t="s">
        <v>3367</v>
      </c>
      <c r="K5" t="str">
        <f>SUBSTITUTE(HMIPATH_ValveModulating,"$",ValveMod[[#This Row],[ID]])</f>
        <v>ObjValveModulating.InOut[3]</v>
      </c>
      <c r="L5" t="str" cm="1">
        <f t="array" ref="L5">FValveModulating(ValveMod[[#This Row],[Obj]],ValveMod[[#This Row],[SubSystem]])</f>
        <v xml:space="preserve">#CAV_SU01_003(comError:="ModbusStations".CAV_SU01_003.Station.Status.ErrorComm,_x000D_
fbOpen:=CommDamperOpen(threshold:=#CAV_SU01_003.openThreshold, Fbk:="ModbusStations".CAV_SU01_003.Data.Fbk),_x000D_
fbClosed:=CommDamperClosed(threshold:=#CAV_SU01_003.closedThreshold, Fbk:="ModbusStations".CAV_SU01_003.Data.Fbk),_x000D_
feedback:="ModbusStations".CAV_SU01_003.Data.Fbk.RelativeVolumetricFlow,_x000D_
reference:="ModbusStations".CAV_SU01_003.Data.Cmd.Setpoint,_x000D_
reset:=#Unit.AHU.Command.General_reset,
           Process:=#Unit.CAV_SU01_003,
          InOut:=HVAC_SU01,
          Parameters:="HVAC_SU01"."CAV_SU01_003".Parameters,
          Settings:="HVAC_SU01"."CAV_SU01_003".Settings,
          Statistic:="HVAC_SU01"."CAV_SU01_003".Statistics);
</v>
      </c>
      <c r="M5" t="str" cm="1">
        <f t="array" ref="M5">MUXValveModulating(ValveMod[[#This Row],[Obj]],ValveMod[[#This Row],[SubSystem]])</f>
        <v xml:space="preserve">#CAV_SU01_003(Object := "HVAC_SU01".CAV_SU01_003,
                InOut := "ObjValveModulating".InOut[#_CAV_SU01_003],
                Parameters:="ObjValveModulating".Parameters[#_CAV_SU01_003],
                Statistics:="ObjValveModulating".Statistic[#_CAV_SU01_003]);
</v>
      </c>
      <c r="N5" t="str" cm="1">
        <f t="array" ref="N5">ValveAMS(ValveMod[[#This Row],[Tag]])</f>
        <v xml:space="preserve">"AlarmWarningAMS"(Base:=#Valve.InOut[_CAV_SU01_003].Base,
                  ConfigAMS:=#Valve.AMS[_CAV_SU01_003],
                  ResultAMS:=#Unit.AMS);
</v>
      </c>
    </row>
    <row r="6" spans="1:14" x14ac:dyDescent="0.3">
      <c r="A6" t="s">
        <v>145</v>
      </c>
      <c r="B6" t="s">
        <v>1475</v>
      </c>
      <c r="C6" t="s">
        <v>1442</v>
      </c>
      <c r="D6" t="str" cm="1">
        <f t="array" ref="D6">GetSystemFromTag(ValveMod[[#This Row],[Obj]])</f>
        <v>HVAC_SU01</v>
      </c>
      <c r="E6" t="str">
        <f>SUBSTITUTE(ValveMod[[#This Row],[RealTag]],"-","_")</f>
        <v>CAV_SU01_004</v>
      </c>
      <c r="F6" t="str">
        <f>"_" &amp; ValveMod[[#This Row],[Obj]]</f>
        <v>_CAV_SU01_004</v>
      </c>
      <c r="G6" t="s">
        <v>0</v>
      </c>
      <c r="H6">
        <f t="shared" si="1"/>
        <v>4</v>
      </c>
      <c r="I6" t="s">
        <v>1585</v>
      </c>
      <c r="J6" t="s">
        <v>3367</v>
      </c>
      <c r="K6" t="str">
        <f>SUBSTITUTE(HMIPATH_ValveModulating,"$",ValveMod[[#This Row],[ID]])</f>
        <v>ObjValveModulating.InOut[4]</v>
      </c>
      <c r="L6" t="str" cm="1">
        <f t="array" ref="L6">FValveModulating(ValveMod[[#This Row],[Obj]],ValveMod[[#This Row],[SubSystem]])</f>
        <v xml:space="preserve">#CAV_SU01_004(comError:="ModbusStations".CAV_SU01_004.Station.Status.ErrorComm,_x000D_
fbOpen:=CommDamperOpen(threshold:=#CAV_SU01_004.openThreshold, Fbk:="ModbusStations".CAV_SU01_004.Data.Fbk),_x000D_
fbClosed:=CommDamperClosed(threshold:=#CAV_SU01_004.closedThreshold, Fbk:="ModbusStations".CAV_SU01_004.Data.Fbk),_x000D_
feedback:="ModbusStations".CAV_SU01_004.Data.Fbk.RelativeVolumetricFlow,_x000D_
reference:="ModbusStations".CAV_SU01_004.Data.Cmd.Setpoint,_x000D_
reset:=#Unit.AHU.Command.General_reset,
           Process:=#Unit.CAV_SU01_004,
          InOut:=HVAC_SU01,
          Parameters:="HVAC_SU01"."CAV_SU01_004".Parameters,
          Settings:="HVAC_SU01"."CAV_SU01_004".Settings,
          Statistic:="HVAC_SU01"."CAV_SU01_004".Statistics);
</v>
      </c>
      <c r="M6" t="str" cm="1">
        <f t="array" ref="M6">MUXValveModulating(ValveMod[[#This Row],[Obj]],ValveMod[[#This Row],[SubSystem]])</f>
        <v xml:space="preserve">#CAV_SU01_004(Object := "HVAC_SU01".CAV_SU01_004,
                InOut := "ObjValveModulating".InOut[#_CAV_SU01_004],
                Parameters:="ObjValveModulating".Parameters[#_CAV_SU01_004],
                Statistics:="ObjValveModulating".Statistic[#_CAV_SU01_004]);
</v>
      </c>
      <c r="N6" t="str" cm="1">
        <f t="array" ref="N6">ValveAMS(ValveMod[[#This Row],[Tag]])</f>
        <v xml:space="preserve">"AlarmWarningAMS"(Base:=#Valve.InOut[_CAV_SU01_004].Base,
                  ConfigAMS:=#Valve.AMS[_CAV_SU01_004],
                  ResultAMS:=#Unit.AMS);
</v>
      </c>
    </row>
    <row r="7" spans="1:14" x14ac:dyDescent="0.3">
      <c r="A7" t="s">
        <v>145</v>
      </c>
      <c r="B7" t="s">
        <v>1476</v>
      </c>
      <c r="C7" t="s">
        <v>1443</v>
      </c>
      <c r="D7" t="str" cm="1">
        <f t="array" ref="D7">GetSystemFromTag(ValveMod[[#This Row],[Obj]])</f>
        <v>HVAC_SU01B</v>
      </c>
      <c r="E7" t="str">
        <f>SUBSTITUTE(ValveMod[[#This Row],[RealTag]],"-","_")</f>
        <v>CAV_SU01B_001</v>
      </c>
      <c r="F7" t="str">
        <f>"_" &amp; ValveMod[[#This Row],[Obj]]</f>
        <v>_CAV_SU01B_001</v>
      </c>
      <c r="G7" t="s">
        <v>0</v>
      </c>
      <c r="H7">
        <f t="shared" ref="H7:H25" si="2">ROW()-2</f>
        <v>5</v>
      </c>
      <c r="I7" t="s">
        <v>1585</v>
      </c>
      <c r="J7" t="s">
        <v>3367</v>
      </c>
      <c r="K7" t="str">
        <f>SUBSTITUTE(HMIPATH_ValveModulating,"$",ValveMod[[#This Row],[ID]])</f>
        <v>ObjValveModulating.InOut[5]</v>
      </c>
      <c r="L7" t="str" cm="1">
        <f t="array" ref="L7">FValveModulating(ValveMod[[#This Row],[Obj]],ValveMod[[#This Row],[SubSystem]])</f>
        <v xml:space="preserve">#CAV_SU01B_001(comError:="ModbusStations".CAV_SU01B_001.Station.Status.ErrorComm,_x000D_
fbOpen:=CommDamperOpen(threshold:=#CAV_SU01B_001.openThreshold, Fbk:="ModbusStations".CAV_SU01B_001.Data.Fbk),_x000D_
fbClosed:=CommDamperClosed(threshold:=#CAV_SU01B_001.closedThreshold, Fbk:="ModbusStations".CAV_SU01B_001.Data.Fbk),_x000D_
feedback:="ModbusStations".CAV_SU01B_001.Data.Fbk.RelativeVolumetricFlow,_x000D_
reference:="ModbusStations".CAV_SU01B_001.Data.Cmd.Setpoint,_x000D_
reset:=#Unit.AHU.Command.General_reset,
           Process:=#Unit.CAV_SU01B_001,
          InOut:=HVAC_SU01B,
          Parameters:="HVAC_SU01B"."CAV_SU01B_001".Parameters,
          Settings:="HVAC_SU01B"."CAV_SU01B_001".Settings,
          Statistic:="HVAC_SU01B"."CAV_SU01B_001".Statistics);
</v>
      </c>
      <c r="M7" t="str" cm="1">
        <f t="array" ref="M7">MUXValveModulating(ValveMod[[#This Row],[Obj]],ValveMod[[#This Row],[SubSystem]])</f>
        <v xml:space="preserve">#CAV_SU01B_001(Object := "HVAC_SU01B".CAV_SU01B_001,
                InOut := "ObjValveModulating".InOut[#_CAV_SU01B_001],
                Parameters:="ObjValveModulating".Parameters[#_CAV_SU01B_001],
                Statistics:="ObjValveModulating".Statistic[#_CAV_SU01B_001]);
</v>
      </c>
      <c r="N7" t="str" cm="1">
        <f t="array" ref="N7">ValveAMS(ValveMod[[#This Row],[Tag]])</f>
        <v xml:space="preserve">"AlarmWarningAMS"(Base:=#Valve.InOut[_CAV_SU01B_001].Base,
                  ConfigAMS:=#Valve.AMS[_CAV_SU01B_001],
                  ResultAMS:=#Unit.AMS);
</v>
      </c>
    </row>
    <row r="8" spans="1:14" x14ac:dyDescent="0.3">
      <c r="A8" t="s">
        <v>145</v>
      </c>
      <c r="B8" t="s">
        <v>1477</v>
      </c>
      <c r="C8" t="s">
        <v>1443</v>
      </c>
      <c r="D8" t="str" cm="1">
        <f t="array" ref="D8">GetSystemFromTag(ValveMod[[#This Row],[Obj]])</f>
        <v>HVAC_SU01B</v>
      </c>
      <c r="E8" t="str">
        <f>SUBSTITUTE(ValveMod[[#This Row],[RealTag]],"-","_")</f>
        <v>CAV_SU01B_002</v>
      </c>
      <c r="F8" t="str">
        <f>"_" &amp; ValveMod[[#This Row],[Obj]]</f>
        <v>_CAV_SU01B_002</v>
      </c>
      <c r="G8" t="s">
        <v>0</v>
      </c>
      <c r="H8">
        <f t="shared" si="2"/>
        <v>6</v>
      </c>
      <c r="I8" t="s">
        <v>1585</v>
      </c>
      <c r="J8" t="s">
        <v>3367</v>
      </c>
      <c r="K8" t="str">
        <f>SUBSTITUTE(HMIPATH_ValveModulating,"$",ValveMod[[#This Row],[ID]])</f>
        <v>ObjValveModulating.InOut[6]</v>
      </c>
      <c r="L8" t="str" cm="1">
        <f t="array" ref="L8">FValveModulating(ValveMod[[#This Row],[Obj]],ValveMod[[#This Row],[SubSystem]])</f>
        <v xml:space="preserve">#CAV_SU01B_002(comError:="ModbusStations".CAV_SU01B_002.Station.Status.ErrorComm,_x000D_
fbOpen:=CommDamperOpen(threshold:=#CAV_SU01B_002.openThreshold, Fbk:="ModbusStations".CAV_SU01B_002.Data.Fbk),_x000D_
fbClosed:=CommDamperClosed(threshold:=#CAV_SU01B_002.closedThreshold, Fbk:="ModbusStations".CAV_SU01B_002.Data.Fbk),_x000D_
feedback:="ModbusStations".CAV_SU01B_002.Data.Fbk.RelativeVolumetricFlow,_x000D_
reference:="ModbusStations".CAV_SU01B_002.Data.Cmd.Setpoint,_x000D_
reset:=#Unit.AHU.Command.General_reset,
           Process:=#Unit.CAV_SU01B_002,
          InOut:=HVAC_SU01B,
          Parameters:="HVAC_SU01B"."CAV_SU01B_002".Parameters,
          Settings:="HVAC_SU01B"."CAV_SU01B_002".Settings,
          Statistic:="HVAC_SU01B"."CAV_SU01B_002".Statistics);
</v>
      </c>
      <c r="M8" t="str" cm="1">
        <f t="array" ref="M8">MUXValveModulating(ValveMod[[#This Row],[Obj]],ValveMod[[#This Row],[SubSystem]])</f>
        <v xml:space="preserve">#CAV_SU01B_002(Object := "HVAC_SU01B".CAV_SU01B_002,
                InOut := "ObjValveModulating".InOut[#_CAV_SU01B_002],
                Parameters:="ObjValveModulating".Parameters[#_CAV_SU01B_002],
                Statistics:="ObjValveModulating".Statistic[#_CAV_SU01B_002]);
</v>
      </c>
      <c r="N8" t="str" cm="1">
        <f t="array" ref="N8">ValveAMS(ValveMod[[#This Row],[Tag]])</f>
        <v xml:space="preserve">"AlarmWarningAMS"(Base:=#Valve.InOut[_CAV_SU01B_002].Base,
                  ConfigAMS:=#Valve.AMS[_CAV_SU01B_002],
                  ResultAMS:=#Unit.AMS);
</v>
      </c>
    </row>
    <row r="9" spans="1:14" x14ac:dyDescent="0.3">
      <c r="A9" t="s">
        <v>145</v>
      </c>
      <c r="B9" t="s">
        <v>1478</v>
      </c>
      <c r="C9" t="s">
        <v>1443</v>
      </c>
      <c r="D9" t="str" cm="1">
        <f t="array" ref="D9">GetSystemFromTag(ValveMod[[#This Row],[Obj]])</f>
        <v>HVAC_SU01B</v>
      </c>
      <c r="E9" t="str">
        <f>SUBSTITUTE(ValveMod[[#This Row],[RealTag]],"-","_")</f>
        <v>CAV_SU01B_003</v>
      </c>
      <c r="F9" t="str">
        <f>"_" &amp; ValveMod[[#This Row],[Obj]]</f>
        <v>_CAV_SU01B_003</v>
      </c>
      <c r="G9" t="s">
        <v>0</v>
      </c>
      <c r="H9">
        <f t="shared" si="2"/>
        <v>7</v>
      </c>
      <c r="I9" t="s">
        <v>1585</v>
      </c>
      <c r="J9" t="s">
        <v>3367</v>
      </c>
      <c r="K9" t="str">
        <f>SUBSTITUTE(HMIPATH_ValveModulating,"$",ValveMod[[#This Row],[ID]])</f>
        <v>ObjValveModulating.InOut[7]</v>
      </c>
      <c r="L9" t="str" cm="1">
        <f t="array" ref="L9">FValveModulating(ValveMod[[#This Row],[Obj]],ValveMod[[#This Row],[SubSystem]])</f>
        <v xml:space="preserve">#CAV_SU01B_003(comError:="ModbusStations".CAV_SU01B_003.Station.Status.ErrorComm,_x000D_
fbOpen:=CommDamperOpen(threshold:=#CAV_SU01B_003.openThreshold, Fbk:="ModbusStations".CAV_SU01B_003.Data.Fbk),_x000D_
fbClosed:=CommDamperClosed(threshold:=#CAV_SU01B_003.closedThreshold, Fbk:="ModbusStations".CAV_SU01B_003.Data.Fbk),_x000D_
feedback:="ModbusStations".CAV_SU01B_003.Data.Fbk.RelativeVolumetricFlow,_x000D_
reference:="ModbusStations".CAV_SU01B_003.Data.Cmd.Setpoint,_x000D_
reset:=#Unit.AHU.Command.General_reset,
           Process:=#Unit.CAV_SU01B_003,
          InOut:=HVAC_SU01B,
          Parameters:="HVAC_SU01B"."CAV_SU01B_003".Parameters,
          Settings:="HVAC_SU01B"."CAV_SU01B_003".Settings,
          Statistic:="HVAC_SU01B"."CAV_SU01B_003".Statistics);
</v>
      </c>
      <c r="M9" t="str" cm="1">
        <f t="array" ref="M9">MUXValveModulating(ValveMod[[#This Row],[Obj]],ValveMod[[#This Row],[SubSystem]])</f>
        <v xml:space="preserve">#CAV_SU01B_003(Object := "HVAC_SU01B".CAV_SU01B_003,
                InOut := "ObjValveModulating".InOut[#_CAV_SU01B_003],
                Parameters:="ObjValveModulating".Parameters[#_CAV_SU01B_003],
                Statistics:="ObjValveModulating".Statistic[#_CAV_SU01B_003]);
</v>
      </c>
      <c r="N9" t="str" cm="1">
        <f t="array" ref="N9">ValveAMS(ValveMod[[#This Row],[Tag]])</f>
        <v xml:space="preserve">"AlarmWarningAMS"(Base:=#Valve.InOut[_CAV_SU01B_003].Base,
                  ConfigAMS:=#Valve.AMS[_CAV_SU01B_003],
                  ResultAMS:=#Unit.AMS);
</v>
      </c>
    </row>
    <row r="10" spans="1:14" x14ac:dyDescent="0.3">
      <c r="A10" t="s">
        <v>145</v>
      </c>
      <c r="B10" t="s">
        <v>1479</v>
      </c>
      <c r="C10" t="s">
        <v>1443</v>
      </c>
      <c r="D10" t="str" cm="1">
        <f t="array" ref="D10">GetSystemFromTag(ValveMod[[#This Row],[Obj]])</f>
        <v>HVAC_SU01B</v>
      </c>
      <c r="E10" t="str">
        <f>SUBSTITUTE(ValveMod[[#This Row],[RealTag]],"-","_")</f>
        <v>CAV_SU01B_004</v>
      </c>
      <c r="F10" t="str">
        <f>"_" &amp; ValveMod[[#This Row],[Obj]]</f>
        <v>_CAV_SU01B_004</v>
      </c>
      <c r="G10" t="s">
        <v>0</v>
      </c>
      <c r="H10">
        <f t="shared" si="2"/>
        <v>8</v>
      </c>
      <c r="I10" t="s">
        <v>1585</v>
      </c>
      <c r="J10" t="s">
        <v>3367</v>
      </c>
      <c r="K10" t="str">
        <f>SUBSTITUTE(HMIPATH_ValveModulating,"$",ValveMod[[#This Row],[ID]])</f>
        <v>ObjValveModulating.InOut[8]</v>
      </c>
      <c r="L10" t="str" cm="1">
        <f t="array" ref="L10">FValveModulating(ValveMod[[#This Row],[Obj]],ValveMod[[#This Row],[SubSystem]])</f>
        <v xml:space="preserve">#CAV_SU01B_004(comError:="ModbusStations".CAV_SU01B_004.Station.Status.ErrorComm,_x000D_
fbOpen:=CommDamperOpen(threshold:=#CAV_SU01B_004.openThreshold, Fbk:="ModbusStations".CAV_SU01B_004.Data.Fbk),_x000D_
fbClosed:=CommDamperClosed(threshold:=#CAV_SU01B_004.closedThreshold, Fbk:="ModbusStations".CAV_SU01B_004.Data.Fbk),_x000D_
feedback:="ModbusStations".CAV_SU01B_004.Data.Fbk.RelativeVolumetricFlow,_x000D_
reference:="ModbusStations".CAV_SU01B_004.Data.Cmd.Setpoint,_x000D_
reset:=#Unit.AHU.Command.General_reset,
           Process:=#Unit.CAV_SU01B_004,
          InOut:=HVAC_SU01B,
          Parameters:="HVAC_SU01B"."CAV_SU01B_004".Parameters,
          Settings:="HVAC_SU01B"."CAV_SU01B_004".Settings,
          Statistic:="HVAC_SU01B"."CAV_SU01B_004".Statistics);
</v>
      </c>
      <c r="M10" t="str" cm="1">
        <f t="array" ref="M10">MUXValveModulating(ValveMod[[#This Row],[Obj]],ValveMod[[#This Row],[SubSystem]])</f>
        <v xml:space="preserve">#CAV_SU01B_004(Object := "HVAC_SU01B".CAV_SU01B_004,
                InOut := "ObjValveModulating".InOut[#_CAV_SU01B_004],
                Parameters:="ObjValveModulating".Parameters[#_CAV_SU01B_004],
                Statistics:="ObjValveModulating".Statistic[#_CAV_SU01B_004]);
</v>
      </c>
      <c r="N10" t="str" cm="1">
        <f t="array" ref="N10">ValveAMS(ValveMod[[#This Row],[Tag]])</f>
        <v xml:space="preserve">"AlarmWarningAMS"(Base:=#Valve.InOut[_CAV_SU01B_004].Base,
                  ConfigAMS:=#Valve.AMS[_CAV_SU01B_004],
                  ResultAMS:=#Unit.AMS);
</v>
      </c>
    </row>
    <row r="11" spans="1:14" x14ac:dyDescent="0.3">
      <c r="A11" t="s">
        <v>145</v>
      </c>
      <c r="B11" t="s">
        <v>1044</v>
      </c>
      <c r="C11" t="s">
        <v>1442</v>
      </c>
      <c r="D11" t="str" cm="1">
        <f t="array" ref="D11">GetSystemFromTag(ValveMod[[#This Row],[Obj]])</f>
        <v>HVAC_R00101</v>
      </c>
      <c r="E11" t="str">
        <f>SUBSTITUTE(ValveMod[[#This Row],[RealTag]],"-","_")</f>
        <v>CAV_00101_001</v>
      </c>
      <c r="F11" t="str">
        <f>"_" &amp; ValveMod[[#This Row],[Obj]]</f>
        <v>_CAV_00101_001</v>
      </c>
      <c r="G11" t="s">
        <v>0</v>
      </c>
      <c r="H11">
        <f t="shared" si="2"/>
        <v>9</v>
      </c>
      <c r="I11" t="s">
        <v>1585</v>
      </c>
      <c r="J11" t="s">
        <v>3367</v>
      </c>
      <c r="K11" t="str">
        <f>SUBSTITUTE(HMIPATH_ValveModulating,"$",ValveMod[[#This Row],[ID]])</f>
        <v>ObjValveModulating.InOut[9]</v>
      </c>
      <c r="L11" t="str" cm="1">
        <f t="array" ref="L11">FValveModulating(ValveMod[[#This Row],[Obj]],ValveMod[[#This Row],[SubSystem]])</f>
        <v xml:space="preserve">#CAV_00101_001(comError:="ModbusStations".CAV_00101_001.Station.Status.ErrorComm,_x000D_
fbOpen:=CommDamperOpen(threshold:=#CAV_00101_001.openThreshold, Fbk:="ModbusStations".CAV_00101_001.Data.Fbk),_x000D_
fbClosed:=CommDamperClosed(threshold:=#CAV_00101_001.closedThreshold, Fbk:="ModbusStations".CAV_00101_001.Data.Fbk),_x000D_
feedback:="ModbusStations".CAV_00101_001.Data.Fbk.RelativeVolumetricFlow,_x000D_
reference:="ModbusStations".CAV_00101_001.Data.Cmd.Setpoint,_x000D_
reset:=#Unit.AHU.Command.General_reset,
           Process:=#Unit.CAV_00101_001,
          InOut:=HVAC_R00101,
          Parameters:="HVAC_R00101"."CAV_00101_001".Parameters,
          Settings:="HVAC_R00101"."CAV_00101_001".Settings,
          Statistic:="HVAC_R00101"."CAV_00101_001".Statistics);
</v>
      </c>
      <c r="M11" t="str" cm="1">
        <f t="array" ref="M11">MUXValveModulating(ValveMod[[#This Row],[Obj]],ValveMod[[#This Row],[SubSystem]])</f>
        <v xml:space="preserve">#CAV_00101_001(Object := "HVAC_R00101".CAV_00101_001,
                InOut := "ObjValveModulating".InOut[#_CAV_00101_001],
                Parameters:="ObjValveModulating".Parameters[#_CAV_00101_001],
                Statistics:="ObjValveModulating".Statistic[#_CAV_00101_001]);
</v>
      </c>
      <c r="N11" t="str" cm="1">
        <f t="array" ref="N11">ValveAMS(ValveMod[[#This Row],[Tag]])</f>
        <v xml:space="preserve">"AlarmWarningAMS"(Base:=#Valve.InOut[_CAV_00101_001].Base,
                  ConfigAMS:=#Valve.AMS[_CAV_00101_001],
                  ResultAMS:=#Unit.AMS);
</v>
      </c>
    </row>
    <row r="12" spans="1:14" x14ac:dyDescent="0.3">
      <c r="A12" t="s">
        <v>145</v>
      </c>
      <c r="B12" t="s">
        <v>1046</v>
      </c>
      <c r="C12" t="s">
        <v>1442</v>
      </c>
      <c r="D12" t="str" cm="1">
        <f t="array" ref="D12">GetSystemFromTag(ValveMod[[#This Row],[Obj]])</f>
        <v>HVAC_R00102</v>
      </c>
      <c r="E12" t="str">
        <f>SUBSTITUTE(ValveMod[[#This Row],[RealTag]],"-","_")</f>
        <v>CAV_00102_001</v>
      </c>
      <c r="F12" t="str">
        <f>"_" &amp; ValveMod[[#This Row],[Obj]]</f>
        <v>_CAV_00102_001</v>
      </c>
      <c r="G12" t="s">
        <v>0</v>
      </c>
      <c r="H12">
        <f t="shared" si="2"/>
        <v>10</v>
      </c>
      <c r="I12" t="s">
        <v>1585</v>
      </c>
      <c r="J12" t="s">
        <v>3367</v>
      </c>
      <c r="K12" t="str">
        <f>SUBSTITUTE(HMIPATH_ValveModulating,"$",ValveMod[[#This Row],[ID]])</f>
        <v>ObjValveModulating.InOut[10]</v>
      </c>
      <c r="L12" t="str" cm="1">
        <f t="array" ref="L12">FValveModulating(ValveMod[[#This Row],[Obj]],ValveMod[[#This Row],[SubSystem]])</f>
        <v xml:space="preserve">#CAV_00102_001(comError:="ModbusStations".CAV_00102_001.Station.Status.ErrorComm,_x000D_
fbOpen:=CommDamperOpen(threshold:=#CAV_00102_001.openThreshold, Fbk:="ModbusStations".CAV_00102_001.Data.Fbk),_x000D_
fbClosed:=CommDamperClosed(threshold:=#CAV_00102_001.closedThreshold, Fbk:="ModbusStations".CAV_00102_001.Data.Fbk),_x000D_
feedback:="ModbusStations".CAV_00102_001.Data.Fbk.RelativeVolumetricFlow,_x000D_
reference:="ModbusStations".CAV_00102_001.Data.Cmd.Setpoint,_x000D_
reset:=#Unit.AHU.Command.General_reset,
           Process:=#Unit.CAV_00102_001,
          InOut:=HVAC_R00102,
          Parameters:="HVAC_R00102"."CAV_00102_001".Parameters,
          Settings:="HVAC_R00102"."CAV_00102_001".Settings,
          Statistic:="HVAC_R00102"."CAV_00102_001".Statistics);
</v>
      </c>
      <c r="M12" t="str" cm="1">
        <f t="array" ref="M12">MUXValveModulating(ValveMod[[#This Row],[Obj]],ValveMod[[#This Row],[SubSystem]])</f>
        <v xml:space="preserve">#CAV_00102_001(Object := "HVAC_R00102".CAV_00102_001,
                InOut := "ObjValveModulating".InOut[#_CAV_00102_001],
                Parameters:="ObjValveModulating".Parameters[#_CAV_00102_001],
                Statistics:="ObjValveModulating".Statistic[#_CAV_00102_001]);
</v>
      </c>
      <c r="N12" t="str" cm="1">
        <f t="array" ref="N12">ValveAMS(ValveMod[[#This Row],[Tag]])</f>
        <v xml:space="preserve">"AlarmWarningAMS"(Base:=#Valve.InOut[_CAV_00102_001].Base,
                  ConfigAMS:=#Valve.AMS[_CAV_00102_001],
                  ResultAMS:=#Unit.AMS);
</v>
      </c>
    </row>
    <row r="13" spans="1:14" x14ac:dyDescent="0.3">
      <c r="A13" t="s">
        <v>145</v>
      </c>
      <c r="B13" t="s">
        <v>1047</v>
      </c>
      <c r="C13" t="s">
        <v>1442</v>
      </c>
      <c r="D13" t="str" cm="1">
        <f t="array" ref="D13">GetSystemFromTag(ValveMod[[#This Row],[Obj]])</f>
        <v>HVAC_R00103</v>
      </c>
      <c r="E13" t="str">
        <f>SUBSTITUTE(ValveMod[[#This Row],[RealTag]],"-","_")</f>
        <v>CAV_00103_001</v>
      </c>
      <c r="F13" t="str">
        <f>"_" &amp; ValveMod[[#This Row],[Obj]]</f>
        <v>_CAV_00103_001</v>
      </c>
      <c r="G13" t="s">
        <v>0</v>
      </c>
      <c r="H13">
        <f t="shared" si="2"/>
        <v>11</v>
      </c>
      <c r="I13" t="s">
        <v>1585</v>
      </c>
      <c r="J13" t="s">
        <v>3367</v>
      </c>
      <c r="K13" t="str">
        <f>SUBSTITUTE(HMIPATH_ValveModulating,"$",ValveMod[[#This Row],[ID]])</f>
        <v>ObjValveModulating.InOut[11]</v>
      </c>
      <c r="L13" t="str" cm="1">
        <f t="array" ref="L13">FValveModulating(ValveMod[[#This Row],[Obj]],ValveMod[[#This Row],[SubSystem]])</f>
        <v xml:space="preserve">#CAV_00103_001(comError:="ModbusStations".CAV_00103_001.Station.Status.ErrorComm,_x000D_
fbOpen:=CommDamperOpen(threshold:=#CAV_00103_001.openThreshold, Fbk:="ModbusStations".CAV_00103_001.Data.Fbk),_x000D_
fbClosed:=CommDamperClosed(threshold:=#CAV_00103_001.closedThreshold, Fbk:="ModbusStations".CAV_00103_001.Data.Fbk),_x000D_
feedback:="ModbusStations".CAV_00103_001.Data.Fbk.RelativeVolumetricFlow,_x000D_
reference:="ModbusStations".CAV_00103_001.Data.Cmd.Setpoint,_x000D_
reset:=#Unit.AHU.Command.General_reset,
           Process:=#Unit.CAV_00103_001,
          InOut:=HVAC_R00103,
          Parameters:="HVAC_R00103"."CAV_00103_001".Parameters,
          Settings:="HVAC_R00103"."CAV_00103_001".Settings,
          Statistic:="HVAC_R00103"."CAV_00103_001".Statistics);
</v>
      </c>
      <c r="M13" t="str" cm="1">
        <f t="array" ref="M13">MUXValveModulating(ValveMod[[#This Row],[Obj]],ValveMod[[#This Row],[SubSystem]])</f>
        <v xml:space="preserve">#CAV_00103_001(Object := "HVAC_R00103".CAV_00103_001,
                InOut := "ObjValveModulating".InOut[#_CAV_00103_001],
                Parameters:="ObjValveModulating".Parameters[#_CAV_00103_001],
                Statistics:="ObjValveModulating".Statistic[#_CAV_00103_001]);
</v>
      </c>
      <c r="N13" t="str" cm="1">
        <f t="array" ref="N13">ValveAMS(ValveMod[[#This Row],[Tag]])</f>
        <v xml:space="preserve">"AlarmWarningAMS"(Base:=#Valve.InOut[_CAV_00103_001].Base,
                  ConfigAMS:=#Valve.AMS[_CAV_00103_001],
                  ResultAMS:=#Unit.AMS);
</v>
      </c>
    </row>
    <row r="14" spans="1:14" x14ac:dyDescent="0.3">
      <c r="A14" t="s">
        <v>145</v>
      </c>
      <c r="B14" t="s">
        <v>1048</v>
      </c>
      <c r="C14" t="s">
        <v>1442</v>
      </c>
      <c r="D14" t="str" cm="1">
        <f t="array" ref="D14">GetSystemFromTag(ValveMod[[#This Row],[Obj]])</f>
        <v>HVAC_R00104</v>
      </c>
      <c r="E14" t="str">
        <f>SUBSTITUTE(ValveMod[[#This Row],[RealTag]],"-","_")</f>
        <v>CAV_00104_001</v>
      </c>
      <c r="F14" t="str">
        <f>"_" &amp; ValveMod[[#This Row],[Obj]]</f>
        <v>_CAV_00104_001</v>
      </c>
      <c r="G14" t="s">
        <v>0</v>
      </c>
      <c r="H14">
        <f t="shared" si="2"/>
        <v>12</v>
      </c>
      <c r="I14" t="s">
        <v>1585</v>
      </c>
      <c r="J14" t="s">
        <v>3367</v>
      </c>
      <c r="K14" t="str">
        <f>SUBSTITUTE(HMIPATH_ValveModulating,"$",ValveMod[[#This Row],[ID]])</f>
        <v>ObjValveModulating.InOut[12]</v>
      </c>
      <c r="L14" t="str" cm="1">
        <f t="array" ref="L14">FValveModulating(ValveMod[[#This Row],[Obj]],ValveMod[[#This Row],[SubSystem]])</f>
        <v xml:space="preserve">#CAV_00104_001(comError:="ModbusStations".CAV_00104_001.Station.Status.ErrorComm,_x000D_
fbOpen:=CommDamperOpen(threshold:=#CAV_00104_001.openThreshold, Fbk:="ModbusStations".CAV_00104_001.Data.Fbk),_x000D_
fbClosed:=CommDamperClosed(threshold:=#CAV_00104_001.closedThreshold, Fbk:="ModbusStations".CAV_00104_001.Data.Fbk),_x000D_
feedback:="ModbusStations".CAV_00104_001.Data.Fbk.RelativeVolumetricFlow,_x000D_
reference:="ModbusStations".CAV_00104_001.Data.Cmd.Setpoint,_x000D_
reset:=#Unit.AHU.Command.General_reset,
           Process:=#Unit.CAV_00104_001,
          InOut:=HVAC_R00104,
          Parameters:="HVAC_R00104"."CAV_00104_001".Parameters,
          Settings:="HVAC_R00104"."CAV_00104_001".Settings,
          Statistic:="HVAC_R00104"."CAV_00104_001".Statistics);
</v>
      </c>
      <c r="M14" t="str" cm="1">
        <f t="array" ref="M14">MUXValveModulating(ValveMod[[#This Row],[Obj]],ValveMod[[#This Row],[SubSystem]])</f>
        <v xml:space="preserve">#CAV_00104_001(Object := "HVAC_R00104".CAV_00104_001,
                InOut := "ObjValveModulating".InOut[#_CAV_00104_001],
                Parameters:="ObjValveModulating".Parameters[#_CAV_00104_001],
                Statistics:="ObjValveModulating".Statistic[#_CAV_00104_001]);
</v>
      </c>
      <c r="N14" t="str" cm="1">
        <f t="array" ref="N14">ValveAMS(ValveMod[[#This Row],[Tag]])</f>
        <v xml:space="preserve">"AlarmWarningAMS"(Base:=#Valve.InOut[_CAV_00104_001].Base,
                  ConfigAMS:=#Valve.AMS[_CAV_00104_001],
                  ResultAMS:=#Unit.AMS);
</v>
      </c>
    </row>
    <row r="15" spans="1:14" x14ac:dyDescent="0.3">
      <c r="A15" t="s">
        <v>145</v>
      </c>
      <c r="B15" t="s">
        <v>1049</v>
      </c>
      <c r="C15" t="s">
        <v>1442</v>
      </c>
      <c r="D15" t="str" cm="1">
        <f t="array" ref="D15">GetSystemFromTag(ValveMod[[#This Row],[Obj]])</f>
        <v>HVAC_R00105</v>
      </c>
      <c r="E15" t="str">
        <f>SUBSTITUTE(ValveMod[[#This Row],[RealTag]],"-","_")</f>
        <v>CAV_00105_001</v>
      </c>
      <c r="F15" t="str">
        <f>"_" &amp; ValveMod[[#This Row],[Obj]]</f>
        <v>_CAV_00105_001</v>
      </c>
      <c r="G15" t="s">
        <v>0</v>
      </c>
      <c r="H15">
        <f t="shared" si="2"/>
        <v>13</v>
      </c>
      <c r="I15" t="s">
        <v>1585</v>
      </c>
      <c r="J15" t="s">
        <v>3367</v>
      </c>
      <c r="K15" t="str">
        <f>SUBSTITUTE(HMIPATH_ValveModulating,"$",ValveMod[[#This Row],[ID]])</f>
        <v>ObjValveModulating.InOut[13]</v>
      </c>
      <c r="L15" t="str" cm="1">
        <f t="array" ref="L15">FValveModulating(ValveMod[[#This Row],[Obj]],ValveMod[[#This Row],[SubSystem]])</f>
        <v xml:space="preserve">#CAV_00105_001(comError:="ModbusStations".CAV_00105_001.Station.Status.ErrorComm,_x000D_
fbOpen:=CommDamperOpen(threshold:=#CAV_00105_001.openThreshold, Fbk:="ModbusStations".CAV_00105_001.Data.Fbk),_x000D_
fbClosed:=CommDamperClosed(threshold:=#CAV_00105_001.closedThreshold, Fbk:="ModbusStations".CAV_00105_001.Data.Fbk),_x000D_
feedback:="ModbusStations".CAV_00105_001.Data.Fbk.RelativeVolumetricFlow,_x000D_
reference:="ModbusStations".CAV_00105_001.Data.Cmd.Setpoint,_x000D_
reset:=#Unit.AHU.Command.General_reset,
           Process:=#Unit.CAV_00105_001,
          InOut:=HVAC_R00105,
          Parameters:="HVAC_R00105"."CAV_00105_001".Parameters,
          Settings:="HVAC_R00105"."CAV_00105_001".Settings,
          Statistic:="HVAC_R00105"."CAV_00105_001".Statistics);
</v>
      </c>
      <c r="M15" t="str" cm="1">
        <f t="array" ref="M15">MUXValveModulating(ValveMod[[#This Row],[Obj]],ValveMod[[#This Row],[SubSystem]])</f>
        <v xml:space="preserve">#CAV_00105_001(Object := "HVAC_R00105".CAV_00105_001,
                InOut := "ObjValveModulating".InOut[#_CAV_00105_001],
                Parameters:="ObjValveModulating".Parameters[#_CAV_00105_001],
                Statistics:="ObjValveModulating".Statistic[#_CAV_00105_001]);
</v>
      </c>
      <c r="N15" t="str" cm="1">
        <f t="array" ref="N15">ValveAMS(ValveMod[[#This Row],[Tag]])</f>
        <v xml:space="preserve">"AlarmWarningAMS"(Base:=#Valve.InOut[_CAV_00105_001].Base,
                  ConfigAMS:=#Valve.AMS[_CAV_00105_001],
                  ResultAMS:=#Unit.AMS);
</v>
      </c>
    </row>
    <row r="16" spans="1:14" x14ac:dyDescent="0.3">
      <c r="A16" t="s">
        <v>145</v>
      </c>
      <c r="B16" t="s">
        <v>1051</v>
      </c>
      <c r="C16" t="s">
        <v>1442</v>
      </c>
      <c r="D16" t="str" cm="1">
        <f t="array" ref="D16">GetSystemFromTag(ValveMod[[#This Row],[Obj]])</f>
        <v>HVAC_R00106</v>
      </c>
      <c r="E16" t="str">
        <f>SUBSTITUTE(ValveMod[[#This Row],[RealTag]],"-","_")</f>
        <v>CAV_00106_001</v>
      </c>
      <c r="F16" t="str">
        <f>"_" &amp; ValveMod[[#This Row],[Obj]]</f>
        <v>_CAV_00106_001</v>
      </c>
      <c r="G16" t="s">
        <v>0</v>
      </c>
      <c r="H16">
        <f t="shared" si="2"/>
        <v>14</v>
      </c>
      <c r="I16" t="s">
        <v>1585</v>
      </c>
      <c r="J16" t="s">
        <v>3367</v>
      </c>
      <c r="K16" t="str">
        <f>SUBSTITUTE(HMIPATH_ValveModulating,"$",ValveMod[[#This Row],[ID]])</f>
        <v>ObjValveModulating.InOut[14]</v>
      </c>
      <c r="L16" t="str" cm="1">
        <f t="array" ref="L16">FValveModulating(ValveMod[[#This Row],[Obj]],ValveMod[[#This Row],[SubSystem]])</f>
        <v xml:space="preserve">#CAV_00106_001(comError:="ModbusStations".CAV_00106_001.Station.Status.ErrorComm,_x000D_
fbOpen:=CommDamperOpen(threshold:=#CAV_00106_001.openThreshold, Fbk:="ModbusStations".CAV_00106_001.Data.Fbk),_x000D_
fbClosed:=CommDamperClosed(threshold:=#CAV_00106_001.closedThreshold, Fbk:="ModbusStations".CAV_00106_001.Data.Fbk),_x000D_
feedback:="ModbusStations".CAV_00106_001.Data.Fbk.RelativeVolumetricFlow,_x000D_
reference:="ModbusStations".CAV_00106_001.Data.Cmd.Setpoint,_x000D_
reset:=#Unit.AHU.Command.General_reset,
           Process:=#Unit.CAV_00106_001,
          InOut:=HVAC_R00106,
          Parameters:="HVAC_R00106"."CAV_00106_001".Parameters,
          Settings:="HVAC_R00106"."CAV_00106_001".Settings,
          Statistic:="HVAC_R00106"."CAV_00106_001".Statistics);
</v>
      </c>
      <c r="M16" t="str" cm="1">
        <f t="array" ref="M16">MUXValveModulating(ValveMod[[#This Row],[Obj]],ValveMod[[#This Row],[SubSystem]])</f>
        <v xml:space="preserve">#CAV_00106_001(Object := "HVAC_R00106".CAV_00106_001,
                InOut := "ObjValveModulating".InOut[#_CAV_00106_001],
                Parameters:="ObjValveModulating".Parameters[#_CAV_00106_001],
                Statistics:="ObjValveModulating".Statistic[#_CAV_00106_001]);
</v>
      </c>
      <c r="N16" t="str" cm="1">
        <f t="array" ref="N16">ValveAMS(ValveMod[[#This Row],[Tag]])</f>
        <v xml:space="preserve">"AlarmWarningAMS"(Base:=#Valve.InOut[_CAV_00106_001].Base,
                  ConfigAMS:=#Valve.AMS[_CAV_00106_001],
                  ResultAMS:=#Unit.AMS);
</v>
      </c>
    </row>
    <row r="17" spans="1:14" x14ac:dyDescent="0.3">
      <c r="A17" t="s">
        <v>145</v>
      </c>
      <c r="B17" t="s">
        <v>1053</v>
      </c>
      <c r="C17" t="s">
        <v>1442</v>
      </c>
      <c r="D17" t="str" cm="1">
        <f t="array" ref="D17">GetSystemFromTag(ValveMod[[#This Row],[Obj]])</f>
        <v>HVAC_R00107</v>
      </c>
      <c r="E17" t="str">
        <f>SUBSTITUTE(ValveMod[[#This Row],[RealTag]],"-","_")</f>
        <v>CAV_00107_001</v>
      </c>
      <c r="F17" t="str">
        <f>"_" &amp; ValveMod[[#This Row],[Obj]]</f>
        <v>_CAV_00107_001</v>
      </c>
      <c r="G17" t="s">
        <v>0</v>
      </c>
      <c r="H17">
        <f t="shared" si="2"/>
        <v>15</v>
      </c>
      <c r="I17" t="s">
        <v>1585</v>
      </c>
      <c r="J17" t="s">
        <v>3367</v>
      </c>
      <c r="K17" t="str">
        <f>SUBSTITUTE(HMIPATH_ValveModulating,"$",ValveMod[[#This Row],[ID]])</f>
        <v>ObjValveModulating.InOut[15]</v>
      </c>
      <c r="L17" t="str" cm="1">
        <f t="array" ref="L17">FValveModulating(ValveMod[[#This Row],[Obj]],ValveMod[[#This Row],[SubSystem]])</f>
        <v xml:space="preserve">#CAV_00107_001(comError:="ModbusStations".CAV_00107_001.Station.Status.ErrorComm,_x000D_
fbOpen:=CommDamperOpen(threshold:=#CAV_00107_001.openThreshold, Fbk:="ModbusStations".CAV_00107_001.Data.Fbk),_x000D_
fbClosed:=CommDamperClosed(threshold:=#CAV_00107_001.closedThreshold, Fbk:="ModbusStations".CAV_00107_001.Data.Fbk),_x000D_
feedback:="ModbusStations".CAV_00107_001.Data.Fbk.RelativeVolumetricFlow,_x000D_
reference:="ModbusStations".CAV_00107_001.Data.Cmd.Setpoint,_x000D_
reset:=#Unit.AHU.Command.General_reset,
           Process:=#Unit.CAV_00107_001,
          InOut:=HVAC_R00107,
          Parameters:="HVAC_R00107"."CAV_00107_001".Parameters,
          Settings:="HVAC_R00107"."CAV_00107_001".Settings,
          Statistic:="HVAC_R00107"."CAV_00107_001".Statistics);
</v>
      </c>
      <c r="M17" t="str" cm="1">
        <f t="array" ref="M17">MUXValveModulating(ValveMod[[#This Row],[Obj]],ValveMod[[#This Row],[SubSystem]])</f>
        <v xml:space="preserve">#CAV_00107_001(Object := "HVAC_R00107".CAV_00107_001,
                InOut := "ObjValveModulating".InOut[#_CAV_00107_001],
                Parameters:="ObjValveModulating".Parameters[#_CAV_00107_001],
                Statistics:="ObjValveModulating".Statistic[#_CAV_00107_001]);
</v>
      </c>
      <c r="N17" t="str" cm="1">
        <f t="array" ref="N17">ValveAMS(ValveMod[[#This Row],[Tag]])</f>
        <v xml:space="preserve">"AlarmWarningAMS"(Base:=#Valve.InOut[_CAV_00107_001].Base,
                  ConfigAMS:=#Valve.AMS[_CAV_00107_001],
                  ResultAMS:=#Unit.AMS);
</v>
      </c>
    </row>
    <row r="18" spans="1:14" x14ac:dyDescent="0.3">
      <c r="A18" t="s">
        <v>145</v>
      </c>
      <c r="B18" t="s">
        <v>1054</v>
      </c>
      <c r="C18" t="s">
        <v>1442</v>
      </c>
      <c r="D18" t="str" cm="1">
        <f t="array" ref="D18">GetSystemFromTag(ValveMod[[#This Row],[Obj]])</f>
        <v>HVAC_R00108</v>
      </c>
      <c r="E18" t="str">
        <f>SUBSTITUTE(ValveMod[[#This Row],[RealTag]],"-","_")</f>
        <v>CAV_00108_001</v>
      </c>
      <c r="F18" t="str">
        <f>"_" &amp; ValveMod[[#This Row],[Obj]]</f>
        <v>_CAV_00108_001</v>
      </c>
      <c r="G18" t="s">
        <v>0</v>
      </c>
      <c r="H18">
        <f t="shared" si="2"/>
        <v>16</v>
      </c>
      <c r="I18" t="s">
        <v>1585</v>
      </c>
      <c r="J18" t="s">
        <v>3367</v>
      </c>
      <c r="K18" t="str">
        <f>SUBSTITUTE(HMIPATH_ValveModulating,"$",ValveMod[[#This Row],[ID]])</f>
        <v>ObjValveModulating.InOut[16]</v>
      </c>
      <c r="L18" t="str" cm="1">
        <f t="array" ref="L18">FValveModulating(ValveMod[[#This Row],[Obj]],ValveMod[[#This Row],[SubSystem]])</f>
        <v xml:space="preserve">#CAV_00108_001(comError:="ModbusStations".CAV_00108_001.Station.Status.ErrorComm,_x000D_
fbOpen:=CommDamperOpen(threshold:=#CAV_00108_001.openThreshold, Fbk:="ModbusStations".CAV_00108_001.Data.Fbk),_x000D_
fbClosed:=CommDamperClosed(threshold:=#CAV_00108_001.closedThreshold, Fbk:="ModbusStations".CAV_00108_001.Data.Fbk),_x000D_
feedback:="ModbusStations".CAV_00108_001.Data.Fbk.RelativeVolumetricFlow,_x000D_
reference:="ModbusStations".CAV_00108_001.Data.Cmd.Setpoint,_x000D_
reset:=#Unit.AHU.Command.General_reset,
           Process:=#Unit.CAV_00108_001,
          InOut:=HVAC_R00108,
          Parameters:="HVAC_R00108"."CAV_00108_001".Parameters,
          Settings:="HVAC_R00108"."CAV_00108_001".Settings,
          Statistic:="HVAC_R00108"."CAV_00108_001".Statistics);
</v>
      </c>
      <c r="M18" t="str" cm="1">
        <f t="array" ref="M18">MUXValveModulating(ValveMod[[#This Row],[Obj]],ValveMod[[#This Row],[SubSystem]])</f>
        <v xml:space="preserve">#CAV_00108_001(Object := "HVAC_R00108".CAV_00108_001,
                InOut := "ObjValveModulating".InOut[#_CAV_00108_001],
                Parameters:="ObjValveModulating".Parameters[#_CAV_00108_001],
                Statistics:="ObjValveModulating".Statistic[#_CAV_00108_001]);
</v>
      </c>
      <c r="N18" t="str" cm="1">
        <f t="array" ref="N18">ValveAMS(ValveMod[[#This Row],[Tag]])</f>
        <v xml:space="preserve">"AlarmWarningAMS"(Base:=#Valve.InOut[_CAV_00108_001].Base,
                  ConfigAMS:=#Valve.AMS[_CAV_00108_001],
                  ResultAMS:=#Unit.AMS);
</v>
      </c>
    </row>
    <row r="19" spans="1:14" x14ac:dyDescent="0.3">
      <c r="A19" t="s">
        <v>145</v>
      </c>
      <c r="B19" t="s">
        <v>1055</v>
      </c>
      <c r="C19" t="s">
        <v>1442</v>
      </c>
      <c r="D19" t="str" cm="1">
        <f t="array" ref="D19">GetSystemFromTag(ValveMod[[#This Row],[Obj]])</f>
        <v>HVAC_R00109</v>
      </c>
      <c r="E19" t="str">
        <f>SUBSTITUTE(ValveMod[[#This Row],[RealTag]],"-","_")</f>
        <v>CAV_00109_001</v>
      </c>
      <c r="F19" t="str">
        <f>"_" &amp; ValveMod[[#This Row],[Obj]]</f>
        <v>_CAV_00109_001</v>
      </c>
      <c r="G19" t="s">
        <v>0</v>
      </c>
      <c r="H19">
        <f t="shared" si="2"/>
        <v>17</v>
      </c>
      <c r="I19" t="s">
        <v>1585</v>
      </c>
      <c r="J19" t="s">
        <v>3367</v>
      </c>
      <c r="K19" t="str">
        <f>SUBSTITUTE(HMIPATH_ValveModulating,"$",ValveMod[[#This Row],[ID]])</f>
        <v>ObjValveModulating.InOut[17]</v>
      </c>
      <c r="L19" t="str" cm="1">
        <f t="array" ref="L19">FValveModulating(ValveMod[[#This Row],[Obj]],ValveMod[[#This Row],[SubSystem]])</f>
        <v xml:space="preserve">#CAV_00109_001(comError:="ModbusStations".CAV_00109_001.Station.Status.ErrorComm,_x000D_
fbOpen:=CommDamperOpen(threshold:=#CAV_00109_001.openThreshold, Fbk:="ModbusStations".CAV_00109_001.Data.Fbk),_x000D_
fbClosed:=CommDamperClosed(threshold:=#CAV_00109_001.closedThreshold, Fbk:="ModbusStations".CAV_00109_001.Data.Fbk),_x000D_
feedback:="ModbusStations".CAV_00109_001.Data.Fbk.RelativeVolumetricFlow,_x000D_
reference:="ModbusStations".CAV_00109_001.Data.Cmd.Setpoint,_x000D_
reset:=#Unit.AHU.Command.General_reset,
           Process:=#Unit.CAV_00109_001,
          InOut:=HVAC_R00109,
          Parameters:="HVAC_R00109"."CAV_00109_001".Parameters,
          Settings:="HVAC_R00109"."CAV_00109_001".Settings,
          Statistic:="HVAC_R00109"."CAV_00109_001".Statistics);
</v>
      </c>
      <c r="M19" t="str" cm="1">
        <f t="array" ref="M19">MUXValveModulating(ValveMod[[#This Row],[Obj]],ValveMod[[#This Row],[SubSystem]])</f>
        <v xml:space="preserve">#CAV_00109_001(Object := "HVAC_R00109".CAV_00109_001,
                InOut := "ObjValveModulating".InOut[#_CAV_00109_001],
                Parameters:="ObjValveModulating".Parameters[#_CAV_00109_001],
                Statistics:="ObjValveModulating".Statistic[#_CAV_00109_001]);
</v>
      </c>
      <c r="N19" t="str" cm="1">
        <f t="array" ref="N19">ValveAMS(ValveMod[[#This Row],[Tag]])</f>
        <v xml:space="preserve">"AlarmWarningAMS"(Base:=#Valve.InOut[_CAV_00109_001].Base,
                  ConfigAMS:=#Valve.AMS[_CAV_00109_001],
                  ResultAMS:=#Unit.AMS);
</v>
      </c>
    </row>
    <row r="20" spans="1:14" x14ac:dyDescent="0.3">
      <c r="A20" t="s">
        <v>145</v>
      </c>
      <c r="B20" t="s">
        <v>1056</v>
      </c>
      <c r="C20" t="s">
        <v>1442</v>
      </c>
      <c r="D20" t="str" cm="1">
        <f t="array" ref="D20">GetSystemFromTag(ValveMod[[#This Row],[Obj]])</f>
        <v>HVAC_R00110</v>
      </c>
      <c r="E20" t="str">
        <f>SUBSTITUTE(ValveMod[[#This Row],[RealTag]],"-","_")</f>
        <v>CAV_00110_001</v>
      </c>
      <c r="F20" t="str">
        <f>"_" &amp; ValveMod[[#This Row],[Obj]]</f>
        <v>_CAV_00110_001</v>
      </c>
      <c r="G20" t="s">
        <v>0</v>
      </c>
      <c r="H20">
        <f t="shared" si="2"/>
        <v>18</v>
      </c>
      <c r="I20" t="s">
        <v>1585</v>
      </c>
      <c r="J20" t="s">
        <v>3367</v>
      </c>
      <c r="K20" t="str">
        <f>SUBSTITUTE(HMIPATH_ValveModulating,"$",ValveMod[[#This Row],[ID]])</f>
        <v>ObjValveModulating.InOut[18]</v>
      </c>
      <c r="L20" t="str" cm="1">
        <f t="array" ref="L20">FValveModulating(ValveMod[[#This Row],[Obj]],ValveMod[[#This Row],[SubSystem]])</f>
        <v xml:space="preserve">#CAV_00110_001(comError:="ModbusStations".CAV_00110_001.Station.Status.ErrorComm,_x000D_
fbOpen:=CommDamperOpen(threshold:=#CAV_00110_001.openThreshold, Fbk:="ModbusStations".CAV_00110_001.Data.Fbk),_x000D_
fbClosed:=CommDamperClosed(threshold:=#CAV_00110_001.closedThreshold, Fbk:="ModbusStations".CAV_00110_001.Data.Fbk),_x000D_
feedback:="ModbusStations".CAV_00110_001.Data.Fbk.RelativeVolumetricFlow,_x000D_
reference:="ModbusStations".CAV_00110_001.Data.Cmd.Setpoint,_x000D_
reset:=#Unit.AHU.Command.General_reset,
           Process:=#Unit.CAV_00110_001,
          InOut:=HVAC_R00110,
          Parameters:="HVAC_R00110"."CAV_00110_001".Parameters,
          Settings:="HVAC_R00110"."CAV_00110_001".Settings,
          Statistic:="HVAC_R00110"."CAV_00110_001".Statistics);
</v>
      </c>
      <c r="M20" t="str" cm="1">
        <f t="array" ref="M20">MUXValveModulating(ValveMod[[#This Row],[Obj]],ValveMod[[#This Row],[SubSystem]])</f>
        <v xml:space="preserve">#CAV_00110_001(Object := "HVAC_R00110".CAV_00110_001,
                InOut := "ObjValveModulating".InOut[#_CAV_00110_001],
                Parameters:="ObjValveModulating".Parameters[#_CAV_00110_001],
                Statistics:="ObjValveModulating".Statistic[#_CAV_00110_001]);
</v>
      </c>
      <c r="N20" t="str" cm="1">
        <f t="array" ref="N20">ValveAMS(ValveMod[[#This Row],[Tag]])</f>
        <v xml:space="preserve">"AlarmWarningAMS"(Base:=#Valve.InOut[_CAV_00110_001].Base,
                  ConfigAMS:=#Valve.AMS[_CAV_00110_001],
                  ResultAMS:=#Unit.AMS);
</v>
      </c>
    </row>
    <row r="21" spans="1:14" x14ac:dyDescent="0.3">
      <c r="A21" t="s">
        <v>145</v>
      </c>
      <c r="B21" t="s">
        <v>1057</v>
      </c>
      <c r="C21" t="s">
        <v>1442</v>
      </c>
      <c r="D21" t="str" cm="1">
        <f t="array" ref="D21">GetSystemFromTag(ValveMod[[#This Row],[Obj]])</f>
        <v>HVAC_R00111</v>
      </c>
      <c r="E21" t="str">
        <f>SUBSTITUTE(ValveMod[[#This Row],[RealTag]],"-","_")</f>
        <v>CAV_00111_001</v>
      </c>
      <c r="F21" t="str">
        <f>"_" &amp; ValveMod[[#This Row],[Obj]]</f>
        <v>_CAV_00111_001</v>
      </c>
      <c r="G21" t="s">
        <v>0</v>
      </c>
      <c r="H21">
        <f t="shared" si="2"/>
        <v>19</v>
      </c>
      <c r="I21" t="s">
        <v>1585</v>
      </c>
      <c r="J21" t="s">
        <v>3367</v>
      </c>
      <c r="K21" t="str">
        <f>SUBSTITUTE(HMIPATH_ValveModulating,"$",ValveMod[[#This Row],[ID]])</f>
        <v>ObjValveModulating.InOut[19]</v>
      </c>
      <c r="L21" t="str" cm="1">
        <f t="array" ref="L21">FValveModulating(ValveMod[[#This Row],[Obj]],ValveMod[[#This Row],[SubSystem]])</f>
        <v xml:space="preserve">#CAV_00111_001(comError:="ModbusStations".CAV_00111_001.Station.Status.ErrorComm,_x000D_
fbOpen:=CommDamperOpen(threshold:=#CAV_00111_001.openThreshold, Fbk:="ModbusStations".CAV_00111_001.Data.Fbk),_x000D_
fbClosed:=CommDamperClosed(threshold:=#CAV_00111_001.closedThreshold, Fbk:="ModbusStations".CAV_00111_001.Data.Fbk),_x000D_
feedback:="ModbusStations".CAV_00111_001.Data.Fbk.RelativeVolumetricFlow,_x000D_
reference:="ModbusStations".CAV_00111_001.Data.Cmd.Setpoint,_x000D_
reset:=#Unit.AHU.Command.General_reset,
           Process:=#Unit.CAV_00111_001,
          InOut:=HVAC_R00111,
          Parameters:="HVAC_R00111"."CAV_00111_001".Parameters,
          Settings:="HVAC_R00111"."CAV_00111_001".Settings,
          Statistic:="HVAC_R00111"."CAV_00111_001".Statistics);
</v>
      </c>
      <c r="M21" t="str" cm="1">
        <f t="array" ref="M21">MUXValveModulating(ValveMod[[#This Row],[Obj]],ValveMod[[#This Row],[SubSystem]])</f>
        <v xml:space="preserve">#CAV_00111_001(Object := "HVAC_R00111".CAV_00111_001,
                InOut := "ObjValveModulating".InOut[#_CAV_00111_001],
                Parameters:="ObjValveModulating".Parameters[#_CAV_00111_001],
                Statistics:="ObjValveModulating".Statistic[#_CAV_00111_001]);
</v>
      </c>
      <c r="N21" t="str" cm="1">
        <f t="array" ref="N21">ValveAMS(ValveMod[[#This Row],[Tag]])</f>
        <v xml:space="preserve">"AlarmWarningAMS"(Base:=#Valve.InOut[_CAV_00111_001].Base,
                  ConfigAMS:=#Valve.AMS[_CAV_00111_001],
                  ResultAMS:=#Unit.AMS);
</v>
      </c>
    </row>
    <row r="22" spans="1:14" x14ac:dyDescent="0.3">
      <c r="A22" t="s">
        <v>145</v>
      </c>
      <c r="B22" t="s">
        <v>1059</v>
      </c>
      <c r="C22" t="s">
        <v>1442</v>
      </c>
      <c r="D22" t="str" cm="1">
        <f t="array" ref="D22">GetSystemFromTag(ValveMod[[#This Row],[Obj]])</f>
        <v>HVAC_R00113</v>
      </c>
      <c r="E22" t="str">
        <f>SUBSTITUTE(ValveMod[[#This Row],[RealTag]],"-","_")</f>
        <v>CAV_00113_001</v>
      </c>
      <c r="F22" t="str">
        <f>"_" &amp; ValveMod[[#This Row],[Obj]]</f>
        <v>_CAV_00113_001</v>
      </c>
      <c r="G22" t="s">
        <v>0</v>
      </c>
      <c r="H22">
        <f t="shared" si="2"/>
        <v>20</v>
      </c>
      <c r="I22" t="s">
        <v>1585</v>
      </c>
      <c r="J22" t="s">
        <v>3367</v>
      </c>
      <c r="K22" t="str">
        <f>SUBSTITUTE(HMIPATH_ValveModulating,"$",ValveMod[[#This Row],[ID]])</f>
        <v>ObjValveModulating.InOut[20]</v>
      </c>
      <c r="L22" t="str" cm="1">
        <f t="array" ref="L22">FValveModulating(ValveMod[[#This Row],[Obj]],ValveMod[[#This Row],[SubSystem]])</f>
        <v xml:space="preserve">#CAV_00113_001(comError:="ModbusStations".CAV_00113_001.Station.Status.ErrorComm,_x000D_
fbOpen:=CommDamperOpen(threshold:=#CAV_00113_001.openThreshold, Fbk:="ModbusStations".CAV_00113_001.Data.Fbk),_x000D_
fbClosed:=CommDamperClosed(threshold:=#CAV_00113_001.closedThreshold, Fbk:="ModbusStations".CAV_00113_001.Data.Fbk),_x000D_
feedback:="ModbusStations".CAV_00113_001.Data.Fbk.RelativeVolumetricFlow,_x000D_
reference:="ModbusStations".CAV_00113_001.Data.Cmd.Setpoint,_x000D_
reset:=#Unit.AHU.Command.General_reset,
           Process:=#Unit.CAV_00113_001,
          InOut:=HVAC_R00113,
          Parameters:="HVAC_R00113"."CAV_00113_001".Parameters,
          Settings:="HVAC_R00113"."CAV_00113_001".Settings,
          Statistic:="HVAC_R00113"."CAV_00113_001".Statistics);
</v>
      </c>
      <c r="M22" t="str" cm="1">
        <f t="array" ref="M22">MUXValveModulating(ValveMod[[#This Row],[Obj]],ValveMod[[#This Row],[SubSystem]])</f>
        <v xml:space="preserve">#CAV_00113_001(Object := "HVAC_R00113".CAV_00113_001,
                InOut := "ObjValveModulating".InOut[#_CAV_00113_001],
                Parameters:="ObjValveModulating".Parameters[#_CAV_00113_001],
                Statistics:="ObjValveModulating".Statistic[#_CAV_00113_001]);
</v>
      </c>
      <c r="N22" t="str" cm="1">
        <f t="array" ref="N22">ValveAMS(ValveMod[[#This Row],[Tag]])</f>
        <v xml:space="preserve">"AlarmWarningAMS"(Base:=#Valve.InOut[_CAV_00113_001].Base,
                  ConfigAMS:=#Valve.AMS[_CAV_00113_001],
                  ResultAMS:=#Unit.AMS);
</v>
      </c>
    </row>
    <row r="23" spans="1:14" x14ac:dyDescent="0.3">
      <c r="A23" t="s">
        <v>145</v>
      </c>
      <c r="B23" t="s">
        <v>1061</v>
      </c>
      <c r="C23" t="s">
        <v>1442</v>
      </c>
      <c r="D23" t="str" cm="1">
        <f t="array" ref="D23">GetSystemFromTag(ValveMod[[#This Row],[Obj]])</f>
        <v>HVAC_R00114</v>
      </c>
      <c r="E23" t="str">
        <f>SUBSTITUTE(ValveMod[[#This Row],[RealTag]],"-","_")</f>
        <v>CAV_00114_001</v>
      </c>
      <c r="F23" t="str">
        <f>"_" &amp; ValveMod[[#This Row],[Obj]]</f>
        <v>_CAV_00114_001</v>
      </c>
      <c r="G23" t="s">
        <v>0</v>
      </c>
      <c r="H23">
        <f t="shared" si="2"/>
        <v>21</v>
      </c>
      <c r="I23" t="s">
        <v>1585</v>
      </c>
      <c r="J23" t="s">
        <v>3367</v>
      </c>
      <c r="K23" t="str">
        <f>SUBSTITUTE(HMIPATH_ValveModulating,"$",ValveMod[[#This Row],[ID]])</f>
        <v>ObjValveModulating.InOut[21]</v>
      </c>
      <c r="L23" t="str" cm="1">
        <f t="array" ref="L23">FValveModulating(ValveMod[[#This Row],[Obj]],ValveMod[[#This Row],[SubSystem]])</f>
        <v xml:space="preserve">#CAV_00114_001(comError:="ModbusStations".CAV_00114_001.Station.Status.ErrorComm,_x000D_
fbOpen:=CommDamperOpen(threshold:=#CAV_00114_001.openThreshold, Fbk:="ModbusStations".CAV_00114_001.Data.Fbk),_x000D_
fbClosed:=CommDamperClosed(threshold:=#CAV_00114_001.closedThreshold, Fbk:="ModbusStations".CAV_00114_001.Data.Fbk),_x000D_
feedback:="ModbusStations".CAV_00114_001.Data.Fbk.RelativeVolumetricFlow,_x000D_
reference:="ModbusStations".CAV_00114_001.Data.Cmd.Setpoint,_x000D_
reset:=#Unit.AHU.Command.General_reset,
           Process:=#Unit.CAV_00114_001,
          InOut:=HVAC_R00114,
          Parameters:="HVAC_R00114"."CAV_00114_001".Parameters,
          Settings:="HVAC_R00114"."CAV_00114_001".Settings,
          Statistic:="HVAC_R00114"."CAV_00114_001".Statistics);
</v>
      </c>
      <c r="M23" t="str" cm="1">
        <f t="array" ref="M23">MUXValveModulating(ValveMod[[#This Row],[Obj]],ValveMod[[#This Row],[SubSystem]])</f>
        <v xml:space="preserve">#CAV_00114_001(Object := "HVAC_R00114".CAV_00114_001,
                InOut := "ObjValveModulating".InOut[#_CAV_00114_001],
                Parameters:="ObjValveModulating".Parameters[#_CAV_00114_001],
                Statistics:="ObjValveModulating".Statistic[#_CAV_00114_001]);
</v>
      </c>
      <c r="N23" t="str" cm="1">
        <f t="array" ref="N23">ValveAMS(ValveMod[[#This Row],[Tag]])</f>
        <v xml:space="preserve">"AlarmWarningAMS"(Base:=#Valve.InOut[_CAV_00114_001].Base,
                  ConfigAMS:=#Valve.AMS[_CAV_00114_001],
                  ResultAMS:=#Unit.AMS);
</v>
      </c>
    </row>
    <row r="24" spans="1:14" x14ac:dyDescent="0.3">
      <c r="A24" t="s">
        <v>145</v>
      </c>
      <c r="B24" t="s">
        <v>1062</v>
      </c>
      <c r="C24" t="s">
        <v>1442</v>
      </c>
      <c r="D24" t="str" cm="1">
        <f t="array" ref="D24">GetSystemFromTag(ValveMod[[#This Row],[Obj]])</f>
        <v>HVAC_R00115</v>
      </c>
      <c r="E24" t="str">
        <f>SUBSTITUTE(ValveMod[[#This Row],[RealTag]],"-","_")</f>
        <v>CAV_00115_001</v>
      </c>
      <c r="F24" t="str">
        <f>"_" &amp; ValveMod[[#This Row],[Obj]]</f>
        <v>_CAV_00115_001</v>
      </c>
      <c r="G24" t="s">
        <v>0</v>
      </c>
      <c r="H24">
        <f t="shared" si="2"/>
        <v>22</v>
      </c>
      <c r="I24" t="s">
        <v>1585</v>
      </c>
      <c r="J24" t="s">
        <v>3367</v>
      </c>
      <c r="K24" t="str">
        <f>SUBSTITUTE(HMIPATH_ValveModulating,"$",ValveMod[[#This Row],[ID]])</f>
        <v>ObjValveModulating.InOut[22]</v>
      </c>
      <c r="L24" t="str" cm="1">
        <f t="array" ref="L24">FValveModulating(ValveMod[[#This Row],[Obj]],ValveMod[[#This Row],[SubSystem]])</f>
        <v xml:space="preserve">#CAV_00115_001(comError:="ModbusStations".CAV_00115_001.Station.Status.ErrorComm,_x000D_
fbOpen:=CommDamperOpen(threshold:=#CAV_00115_001.openThreshold, Fbk:="ModbusStations".CAV_00115_001.Data.Fbk),_x000D_
fbClosed:=CommDamperClosed(threshold:=#CAV_00115_001.closedThreshold, Fbk:="ModbusStations".CAV_00115_001.Data.Fbk),_x000D_
feedback:="ModbusStations".CAV_00115_001.Data.Fbk.RelativeVolumetricFlow,_x000D_
reference:="ModbusStations".CAV_00115_001.Data.Cmd.Setpoint,_x000D_
reset:=#Unit.AHU.Command.General_reset,
           Process:=#Unit.CAV_00115_001,
          InOut:=HVAC_R00115,
          Parameters:="HVAC_R00115"."CAV_00115_001".Parameters,
          Settings:="HVAC_R00115"."CAV_00115_001".Settings,
          Statistic:="HVAC_R00115"."CAV_00115_001".Statistics);
</v>
      </c>
      <c r="M24" t="str" cm="1">
        <f t="array" ref="M24">MUXValveModulating(ValveMod[[#This Row],[Obj]],ValveMod[[#This Row],[SubSystem]])</f>
        <v xml:space="preserve">#CAV_00115_001(Object := "HVAC_R00115".CAV_00115_001,
                InOut := "ObjValveModulating".InOut[#_CAV_00115_001],
                Parameters:="ObjValveModulating".Parameters[#_CAV_00115_001],
                Statistics:="ObjValveModulating".Statistic[#_CAV_00115_001]);
</v>
      </c>
      <c r="N24" t="str" cm="1">
        <f t="array" ref="N24">ValveAMS(ValveMod[[#This Row],[Tag]])</f>
        <v xml:space="preserve">"AlarmWarningAMS"(Base:=#Valve.InOut[_CAV_00115_001].Base,
                  ConfigAMS:=#Valve.AMS[_CAV_00115_001],
                  ResultAMS:=#Unit.AMS);
</v>
      </c>
    </row>
    <row r="25" spans="1:14" x14ac:dyDescent="0.3">
      <c r="A25" t="s">
        <v>145</v>
      </c>
      <c r="B25" t="s">
        <v>1063</v>
      </c>
      <c r="C25" t="s">
        <v>1442</v>
      </c>
      <c r="D25" t="str" cm="1">
        <f t="array" ref="D25">GetSystemFromTag(ValveMod[[#This Row],[Obj]])</f>
        <v>HVAC_R00116</v>
      </c>
      <c r="E25" t="str">
        <f>SUBSTITUTE(ValveMod[[#This Row],[RealTag]],"-","_")</f>
        <v>CAV_00116_001</v>
      </c>
      <c r="F25" t="str">
        <f>"_" &amp; ValveMod[[#This Row],[Obj]]</f>
        <v>_CAV_00116_001</v>
      </c>
      <c r="G25" t="s">
        <v>0</v>
      </c>
      <c r="H25">
        <f t="shared" si="2"/>
        <v>23</v>
      </c>
      <c r="I25" t="s">
        <v>1585</v>
      </c>
      <c r="J25" t="s">
        <v>3367</v>
      </c>
      <c r="K25" t="str">
        <f>SUBSTITUTE(HMIPATH_ValveModulating,"$",ValveMod[[#This Row],[ID]])</f>
        <v>ObjValveModulating.InOut[23]</v>
      </c>
      <c r="L25" t="str" cm="1">
        <f t="array" ref="L25">FValveModulating(ValveMod[[#This Row],[Obj]],ValveMod[[#This Row],[SubSystem]])</f>
        <v xml:space="preserve">#CAV_00116_001(comError:="ModbusStations".CAV_00116_001.Station.Status.ErrorComm,_x000D_
fbOpen:=CommDamperOpen(threshold:=#CAV_00116_001.openThreshold, Fbk:="ModbusStations".CAV_00116_001.Data.Fbk),_x000D_
fbClosed:=CommDamperClosed(threshold:=#CAV_00116_001.closedThreshold, Fbk:="ModbusStations".CAV_00116_001.Data.Fbk),_x000D_
feedback:="ModbusStations".CAV_00116_001.Data.Fbk.RelativeVolumetricFlow,_x000D_
reference:="ModbusStations".CAV_00116_001.Data.Cmd.Setpoint,_x000D_
reset:=#Unit.AHU.Command.General_reset,
           Process:=#Unit.CAV_00116_001,
          InOut:=HVAC_R00116,
          Parameters:="HVAC_R00116"."CAV_00116_001".Parameters,
          Settings:="HVAC_R00116"."CAV_00116_001".Settings,
          Statistic:="HVAC_R00116"."CAV_00116_001".Statistics);
</v>
      </c>
      <c r="M25" t="str" cm="1">
        <f t="array" ref="M25">MUXValveModulating(ValveMod[[#This Row],[Obj]],ValveMod[[#This Row],[SubSystem]])</f>
        <v xml:space="preserve">#CAV_00116_001(Object := "HVAC_R00116".CAV_00116_001,
                InOut := "ObjValveModulating".InOut[#_CAV_00116_001],
                Parameters:="ObjValveModulating".Parameters[#_CAV_00116_001],
                Statistics:="ObjValveModulating".Statistic[#_CAV_00116_001]);
</v>
      </c>
      <c r="N25" t="str" cm="1">
        <f t="array" ref="N25">ValveAMS(ValveMod[[#This Row],[Tag]])</f>
        <v xml:space="preserve">"AlarmWarningAMS"(Base:=#Valve.InOut[_CAV_00116_001].Base,
                  ConfigAMS:=#Valve.AMS[_CAV_00116_001],
                  ResultAMS:=#Unit.AMS);
</v>
      </c>
    </row>
    <row r="26" spans="1:14" x14ac:dyDescent="0.3">
      <c r="A26" t="s">
        <v>145</v>
      </c>
      <c r="B26" t="s">
        <v>1067</v>
      </c>
      <c r="C26" t="s">
        <v>1442</v>
      </c>
      <c r="D26" t="str" cm="1">
        <f t="array" ref="D26">GetSystemFromTag(ValveMod[[#This Row],[Obj]])</f>
        <v>HVAC_R00101</v>
      </c>
      <c r="E26" t="str">
        <f>SUBSTITUTE(ValveMod[[#This Row],[RealTag]],"-","_")</f>
        <v>VAV_00101_001</v>
      </c>
      <c r="F26" t="str">
        <f>"_" &amp; ValveMod[[#This Row],[Obj]]</f>
        <v>_VAV_00101_001</v>
      </c>
      <c r="G26" t="s">
        <v>0</v>
      </c>
      <c r="H26">
        <f t="shared" ref="H26:H40" si="3">ROW()-2</f>
        <v>24</v>
      </c>
      <c r="I26" t="s">
        <v>1585</v>
      </c>
      <c r="J26" t="s">
        <v>3367</v>
      </c>
      <c r="K26" t="str">
        <f>SUBSTITUTE(HMIPATH_ValveModulating,"$",ValveMod[[#This Row],[ID]])</f>
        <v>ObjValveModulating.InOut[24]</v>
      </c>
      <c r="L26" t="str" cm="1">
        <f t="array" ref="L26">FValveModulating(ValveMod[[#This Row],[Obj]],ValveMod[[#This Row],[SubSystem]])</f>
        <v xml:space="preserve">#VAV_00101_001(feedbackRaw:="VAV-00101-001_FB",_x000D_
referenceRaw:="VAV-00101-001_SP",_x000D_
reset:=#Unit.AHU.Command.General_reset,
           Process:=#Unit.VAV_00101_001,
          InOut:=HVAC_R00101,
          Parameters:="HVAC_R00101"."VAV_00101_001".Parameters,
          Settings:="HVAC_R00101"."VAV_00101_001".Settings,
          Statistic:="HVAC_R00101"."VAV_00101_001".Statistics);
</v>
      </c>
      <c r="M26" t="str" cm="1">
        <f t="array" ref="M26">MUXValveModulating(ValveMod[[#This Row],[Obj]],ValveMod[[#This Row],[SubSystem]])</f>
        <v xml:space="preserve">#VAV_00101_001(Object := "HVAC_R00101".VAV_00101_001,
                InOut := "ObjValveModulating".InOut[#_VAV_00101_001],
                Parameters:="ObjValveModulating".Parameters[#_VAV_00101_001],
                Statistics:="ObjValveModulating".Statistic[#_VAV_00101_001]);
</v>
      </c>
      <c r="N26" t="str" cm="1">
        <f t="array" ref="N26">ValveAMS(ValveMod[[#This Row],[Tag]])</f>
        <v xml:space="preserve">"AlarmWarningAMS"(Base:=#Valve.InOut[_VAV_00101_001].Base,
                  ConfigAMS:=#Valve.AMS[_VAV_00101_001],
                  ResultAMS:=#Unit.AMS);
</v>
      </c>
    </row>
    <row r="27" spans="1:14" x14ac:dyDescent="0.3">
      <c r="A27" t="s">
        <v>145</v>
      </c>
      <c r="B27" t="s">
        <v>1070</v>
      </c>
      <c r="C27" t="s">
        <v>1442</v>
      </c>
      <c r="D27" t="str" cm="1">
        <f t="array" ref="D27">GetSystemFromTag(ValveMod[[#This Row],[Obj]])</f>
        <v>HVAC_R00102</v>
      </c>
      <c r="E27" t="str">
        <f>SUBSTITUTE(ValveMod[[#This Row],[RealTag]],"-","_")</f>
        <v>VAV_00102_001</v>
      </c>
      <c r="F27" t="str">
        <f>"_" &amp; ValveMod[[#This Row],[Obj]]</f>
        <v>_VAV_00102_001</v>
      </c>
      <c r="G27" t="s">
        <v>0</v>
      </c>
      <c r="H27">
        <f t="shared" si="3"/>
        <v>25</v>
      </c>
      <c r="I27" t="s">
        <v>1585</v>
      </c>
      <c r="J27" t="s">
        <v>3367</v>
      </c>
      <c r="K27" t="str">
        <f>SUBSTITUTE(HMIPATH_ValveModulating,"$",ValveMod[[#This Row],[ID]])</f>
        <v>ObjValveModulating.InOut[25]</v>
      </c>
      <c r="L27" t="str" cm="1">
        <f t="array" ref="L27">FValveModulating(ValveMod[[#This Row],[Obj]],ValveMod[[#This Row],[SubSystem]])</f>
        <v xml:space="preserve">#VAV_00102_001(feedbackRaw:="VAV-00102-001_FB",_x000D_
referenceRaw:="VAV-00102-001_SP",_x000D_
reset:=#Unit.AHU.Command.General_reset,
           Process:=#Unit.VAV_00102_001,
          InOut:=HVAC_R00102,
          Parameters:="HVAC_R00102"."VAV_00102_001".Parameters,
          Settings:="HVAC_R00102"."VAV_00102_001".Settings,
          Statistic:="HVAC_R00102"."VAV_00102_001".Statistics);
</v>
      </c>
      <c r="M27" t="str" cm="1">
        <f t="array" ref="M27">MUXValveModulating(ValveMod[[#This Row],[Obj]],ValveMod[[#This Row],[SubSystem]])</f>
        <v xml:space="preserve">#VAV_00102_001(Object := "HVAC_R00102".VAV_00102_001,
                InOut := "ObjValveModulating".InOut[#_VAV_00102_001],
                Parameters:="ObjValveModulating".Parameters[#_VAV_00102_001],
                Statistics:="ObjValveModulating".Statistic[#_VAV_00102_001]);
</v>
      </c>
      <c r="N27" t="str" cm="1">
        <f t="array" ref="N27">ValveAMS(ValveMod[[#This Row],[Tag]])</f>
        <v xml:space="preserve">"AlarmWarningAMS"(Base:=#Valve.InOut[_VAV_00102_001].Base,
                  ConfigAMS:=#Valve.AMS[_VAV_00102_001],
                  ResultAMS:=#Unit.AMS);
</v>
      </c>
    </row>
    <row r="28" spans="1:14" x14ac:dyDescent="0.3">
      <c r="A28" t="s">
        <v>145</v>
      </c>
      <c r="B28" t="s">
        <v>1071</v>
      </c>
      <c r="C28" t="s">
        <v>1442</v>
      </c>
      <c r="D28" t="str" cm="1">
        <f t="array" ref="D28">GetSystemFromTag(ValveMod[[#This Row],[Obj]])</f>
        <v>HVAC_R00103</v>
      </c>
      <c r="E28" t="str">
        <f>SUBSTITUTE(ValveMod[[#This Row],[RealTag]],"-","_")</f>
        <v>VAV_00103_001</v>
      </c>
      <c r="F28" t="str">
        <f>"_" &amp; ValveMod[[#This Row],[Obj]]</f>
        <v>_VAV_00103_001</v>
      </c>
      <c r="G28" t="s">
        <v>0</v>
      </c>
      <c r="H28">
        <f t="shared" si="3"/>
        <v>26</v>
      </c>
      <c r="I28" t="s">
        <v>1585</v>
      </c>
      <c r="J28" t="s">
        <v>3367</v>
      </c>
      <c r="K28" t="str">
        <f>SUBSTITUTE(HMIPATH_ValveModulating,"$",ValveMod[[#This Row],[ID]])</f>
        <v>ObjValveModulating.InOut[26]</v>
      </c>
      <c r="L28" t="str" cm="1">
        <f t="array" ref="L28">FValveModulating(ValveMod[[#This Row],[Obj]],ValveMod[[#This Row],[SubSystem]])</f>
        <v xml:space="preserve">#VAV_00103_001(feedbackRaw:="VAV-00103-001_FB",_x000D_
referenceRaw:="VAV-00103-001_SP",_x000D_
reset:=#Unit.AHU.Command.General_reset,
           Process:=#Unit.VAV_00103_001,
          InOut:=HVAC_R00103,
          Parameters:="HVAC_R00103"."VAV_00103_001".Parameters,
          Settings:="HVAC_R00103"."VAV_00103_001".Settings,
          Statistic:="HVAC_R00103"."VAV_00103_001".Statistics);
</v>
      </c>
      <c r="M28" t="str" cm="1">
        <f t="array" ref="M28">MUXValveModulating(ValveMod[[#This Row],[Obj]],ValveMod[[#This Row],[SubSystem]])</f>
        <v xml:space="preserve">#VAV_00103_001(Object := "HVAC_R00103".VAV_00103_001,
                InOut := "ObjValveModulating".InOut[#_VAV_00103_001],
                Parameters:="ObjValveModulating".Parameters[#_VAV_00103_001],
                Statistics:="ObjValveModulating".Statistic[#_VAV_00103_001]);
</v>
      </c>
      <c r="N28" t="str" cm="1">
        <f t="array" ref="N28">ValveAMS(ValveMod[[#This Row],[Tag]])</f>
        <v xml:space="preserve">"AlarmWarningAMS"(Base:=#Valve.InOut[_VAV_00103_001].Base,
                  ConfigAMS:=#Valve.AMS[_VAV_00103_001],
                  ResultAMS:=#Unit.AMS);
</v>
      </c>
    </row>
    <row r="29" spans="1:14" x14ac:dyDescent="0.3">
      <c r="A29" t="s">
        <v>145</v>
      </c>
      <c r="B29" t="s">
        <v>1073</v>
      </c>
      <c r="C29" t="s">
        <v>1442</v>
      </c>
      <c r="D29" t="str" cm="1">
        <f t="array" ref="D29">GetSystemFromTag(ValveMod[[#This Row],[Obj]])</f>
        <v>HVAC_R00104</v>
      </c>
      <c r="E29" t="str">
        <f>SUBSTITUTE(ValveMod[[#This Row],[RealTag]],"-","_")</f>
        <v>VAV_00104_001</v>
      </c>
      <c r="F29" t="str">
        <f>"_" &amp; ValveMod[[#This Row],[Obj]]</f>
        <v>_VAV_00104_001</v>
      </c>
      <c r="G29" t="s">
        <v>0</v>
      </c>
      <c r="H29">
        <f t="shared" si="3"/>
        <v>27</v>
      </c>
      <c r="I29" t="s">
        <v>1585</v>
      </c>
      <c r="J29" t="s">
        <v>3367</v>
      </c>
      <c r="K29" t="str">
        <f>SUBSTITUTE(HMIPATH_ValveModulating,"$",ValveMod[[#This Row],[ID]])</f>
        <v>ObjValveModulating.InOut[27]</v>
      </c>
      <c r="L29" t="str" cm="1">
        <f t="array" ref="L29">FValveModulating(ValveMod[[#This Row],[Obj]],ValveMod[[#This Row],[SubSystem]])</f>
        <v xml:space="preserve">#VAV_00104_001(feedbackRaw:="VAV-00104-001_FB",_x000D_
referenceRaw:="VAV-00104-001_SP",_x000D_
reset:=#Unit.AHU.Command.General_reset,
           Process:=#Unit.VAV_00104_001,
          InOut:=HVAC_R00104,
          Parameters:="HVAC_R00104"."VAV_00104_001".Parameters,
          Settings:="HVAC_R00104"."VAV_00104_001".Settings,
          Statistic:="HVAC_R00104"."VAV_00104_001".Statistics);
</v>
      </c>
      <c r="M29" t="str" cm="1">
        <f t="array" ref="M29">MUXValveModulating(ValveMod[[#This Row],[Obj]],ValveMod[[#This Row],[SubSystem]])</f>
        <v xml:space="preserve">#VAV_00104_001(Object := "HVAC_R00104".VAV_00104_001,
                InOut := "ObjValveModulating".InOut[#_VAV_00104_001],
                Parameters:="ObjValveModulating".Parameters[#_VAV_00104_001],
                Statistics:="ObjValveModulating".Statistic[#_VAV_00104_001]);
</v>
      </c>
      <c r="N29" t="str" cm="1">
        <f t="array" ref="N29">ValveAMS(ValveMod[[#This Row],[Tag]])</f>
        <v xml:space="preserve">"AlarmWarningAMS"(Base:=#Valve.InOut[_VAV_00104_001].Base,
                  ConfigAMS:=#Valve.AMS[_VAV_00104_001],
                  ResultAMS:=#Unit.AMS);
</v>
      </c>
    </row>
    <row r="30" spans="1:14" x14ac:dyDescent="0.3">
      <c r="A30" t="s">
        <v>145</v>
      </c>
      <c r="B30" t="s">
        <v>1074</v>
      </c>
      <c r="C30" t="s">
        <v>1442</v>
      </c>
      <c r="D30" t="str" cm="1">
        <f t="array" ref="D30">GetSystemFromTag(ValveMod[[#This Row],[Obj]])</f>
        <v>HVAC_R00105</v>
      </c>
      <c r="E30" t="str">
        <f>SUBSTITUTE(ValveMod[[#This Row],[RealTag]],"-","_")</f>
        <v>VAV_00105_001</v>
      </c>
      <c r="F30" t="str">
        <f>"_" &amp; ValveMod[[#This Row],[Obj]]</f>
        <v>_VAV_00105_001</v>
      </c>
      <c r="G30" t="s">
        <v>0</v>
      </c>
      <c r="H30">
        <f t="shared" si="3"/>
        <v>28</v>
      </c>
      <c r="I30" t="s">
        <v>1585</v>
      </c>
      <c r="J30" t="s">
        <v>3367</v>
      </c>
      <c r="K30" t="str">
        <f>SUBSTITUTE(HMIPATH_ValveModulating,"$",ValveMod[[#This Row],[ID]])</f>
        <v>ObjValveModulating.InOut[28]</v>
      </c>
      <c r="L30" t="str" cm="1">
        <f t="array" ref="L30">FValveModulating(ValveMod[[#This Row],[Obj]],ValveMod[[#This Row],[SubSystem]])</f>
        <v xml:space="preserve">#VAV_00105_001(feedbackRaw:="VAV-00105-001_FB",_x000D_
referenceRaw:="VAV-00105-001_SP",_x000D_
reset:=#Unit.AHU.Command.General_reset,
           Process:=#Unit.VAV_00105_001,
          InOut:=HVAC_R00105,
          Parameters:="HVAC_R00105"."VAV_00105_001".Parameters,
          Settings:="HVAC_R00105"."VAV_00105_001".Settings,
          Statistic:="HVAC_R00105"."VAV_00105_001".Statistics);
</v>
      </c>
      <c r="M30" t="str" cm="1">
        <f t="array" ref="M30">MUXValveModulating(ValveMod[[#This Row],[Obj]],ValveMod[[#This Row],[SubSystem]])</f>
        <v xml:space="preserve">#VAV_00105_001(Object := "HVAC_R00105".VAV_00105_001,
                InOut := "ObjValveModulating".InOut[#_VAV_00105_001],
                Parameters:="ObjValveModulating".Parameters[#_VAV_00105_001],
                Statistics:="ObjValveModulating".Statistic[#_VAV_00105_001]);
</v>
      </c>
      <c r="N30" t="str" cm="1">
        <f t="array" ref="N30">ValveAMS(ValveMod[[#This Row],[Tag]])</f>
        <v xml:space="preserve">"AlarmWarningAMS"(Base:=#Valve.InOut[_VAV_00105_001].Base,
                  ConfigAMS:=#Valve.AMS[_VAV_00105_001],
                  ResultAMS:=#Unit.AMS);
</v>
      </c>
    </row>
    <row r="31" spans="1:14" x14ac:dyDescent="0.3">
      <c r="A31" t="s">
        <v>145</v>
      </c>
      <c r="B31" t="s">
        <v>1076</v>
      </c>
      <c r="C31" t="s">
        <v>1442</v>
      </c>
      <c r="D31" t="str" cm="1">
        <f t="array" ref="D31">GetSystemFromTag(ValveMod[[#This Row],[Obj]])</f>
        <v>HVAC_R00106</v>
      </c>
      <c r="E31" t="str">
        <f>SUBSTITUTE(ValveMod[[#This Row],[RealTag]],"-","_")</f>
        <v>VAV_00106_001</v>
      </c>
      <c r="F31" t="str">
        <f>"_" &amp; ValveMod[[#This Row],[Obj]]</f>
        <v>_VAV_00106_001</v>
      </c>
      <c r="G31" t="s">
        <v>0</v>
      </c>
      <c r="H31">
        <f t="shared" si="3"/>
        <v>29</v>
      </c>
      <c r="I31" t="s">
        <v>1585</v>
      </c>
      <c r="J31" t="s">
        <v>3367</v>
      </c>
      <c r="K31" t="str">
        <f>SUBSTITUTE(HMIPATH_ValveModulating,"$",ValveMod[[#This Row],[ID]])</f>
        <v>ObjValveModulating.InOut[29]</v>
      </c>
      <c r="L31" t="str" cm="1">
        <f t="array" ref="L31">FValveModulating(ValveMod[[#This Row],[Obj]],ValveMod[[#This Row],[SubSystem]])</f>
        <v xml:space="preserve">#VAV_00106_001(feedbackRaw:="VAV-00106-001_FB",_x000D_
referenceRaw:="VAV-00106-001_SP",_x000D_
reset:=#Unit.AHU.Command.General_reset,
           Process:=#Unit.VAV_00106_001,
          InOut:=HVAC_R00106,
          Parameters:="HVAC_R00106"."VAV_00106_001".Parameters,
          Settings:="HVAC_R00106"."VAV_00106_001".Settings,
          Statistic:="HVAC_R00106"."VAV_00106_001".Statistics);
</v>
      </c>
      <c r="M31" t="str" cm="1">
        <f t="array" ref="M31">MUXValveModulating(ValveMod[[#This Row],[Obj]],ValveMod[[#This Row],[SubSystem]])</f>
        <v xml:space="preserve">#VAV_00106_001(Object := "HVAC_R00106".VAV_00106_001,
                InOut := "ObjValveModulating".InOut[#_VAV_00106_001],
                Parameters:="ObjValveModulating".Parameters[#_VAV_00106_001],
                Statistics:="ObjValveModulating".Statistic[#_VAV_00106_001]);
</v>
      </c>
      <c r="N31" t="str" cm="1">
        <f t="array" ref="N31">ValveAMS(ValveMod[[#This Row],[Tag]])</f>
        <v xml:space="preserve">"AlarmWarningAMS"(Base:=#Valve.InOut[_VAV_00106_001].Base,
                  ConfigAMS:=#Valve.AMS[_VAV_00106_001],
                  ResultAMS:=#Unit.AMS);
</v>
      </c>
    </row>
    <row r="32" spans="1:14" x14ac:dyDescent="0.3">
      <c r="A32" t="s">
        <v>145</v>
      </c>
      <c r="B32" t="s">
        <v>1079</v>
      </c>
      <c r="C32" t="s">
        <v>1442</v>
      </c>
      <c r="D32" t="str" cm="1">
        <f t="array" ref="D32">GetSystemFromTag(ValveMod[[#This Row],[Obj]])</f>
        <v>HVAC_R00107</v>
      </c>
      <c r="E32" t="str">
        <f>SUBSTITUTE(ValveMod[[#This Row],[RealTag]],"-","_")</f>
        <v>VAV_00107_001</v>
      </c>
      <c r="F32" t="str">
        <f>"_" &amp; ValveMod[[#This Row],[Obj]]</f>
        <v>_VAV_00107_001</v>
      </c>
      <c r="G32" t="s">
        <v>0</v>
      </c>
      <c r="H32">
        <f t="shared" si="3"/>
        <v>30</v>
      </c>
      <c r="I32" t="s">
        <v>1585</v>
      </c>
      <c r="J32" t="s">
        <v>3367</v>
      </c>
      <c r="K32" t="str">
        <f>SUBSTITUTE(HMIPATH_ValveModulating,"$",ValveMod[[#This Row],[ID]])</f>
        <v>ObjValveModulating.InOut[30]</v>
      </c>
      <c r="L32" t="str" cm="1">
        <f t="array" ref="L32">FValveModulating(ValveMod[[#This Row],[Obj]],ValveMod[[#This Row],[SubSystem]])</f>
        <v xml:space="preserve">#VAV_00107_001(feedbackRaw:="VAV-00107-001_FB",_x000D_
referenceRaw:="VAV-00107-001_SP",_x000D_
reset:=#Unit.AHU.Command.General_reset,
           Process:=#Unit.VAV_00107_001,
          InOut:=HVAC_R00107,
          Parameters:="HVAC_R00107"."VAV_00107_001".Parameters,
          Settings:="HVAC_R00107"."VAV_00107_001".Settings,
          Statistic:="HVAC_R00107"."VAV_00107_001".Statistics);
</v>
      </c>
      <c r="M32" t="str" cm="1">
        <f t="array" ref="M32">MUXValveModulating(ValveMod[[#This Row],[Obj]],ValveMod[[#This Row],[SubSystem]])</f>
        <v xml:space="preserve">#VAV_00107_001(Object := "HVAC_R00107".VAV_00107_001,
                InOut := "ObjValveModulating".InOut[#_VAV_00107_001],
                Parameters:="ObjValveModulating".Parameters[#_VAV_00107_001],
                Statistics:="ObjValveModulating".Statistic[#_VAV_00107_001]);
</v>
      </c>
      <c r="N32" t="str" cm="1">
        <f t="array" ref="N32">ValveAMS(ValveMod[[#This Row],[Tag]])</f>
        <v xml:space="preserve">"AlarmWarningAMS"(Base:=#Valve.InOut[_VAV_00107_001].Base,
                  ConfigAMS:=#Valve.AMS[_VAV_00107_001],
                  ResultAMS:=#Unit.AMS);
</v>
      </c>
    </row>
    <row r="33" spans="1:14" x14ac:dyDescent="0.3">
      <c r="A33" t="s">
        <v>145</v>
      </c>
      <c r="B33" t="s">
        <v>1080</v>
      </c>
      <c r="C33" t="s">
        <v>1442</v>
      </c>
      <c r="D33" t="str" cm="1">
        <f t="array" ref="D33">GetSystemFromTag(ValveMod[[#This Row],[Obj]])</f>
        <v>HVAC_R00108</v>
      </c>
      <c r="E33" t="str">
        <f>SUBSTITUTE(ValveMod[[#This Row],[RealTag]],"-","_")</f>
        <v>VAV_00108_001</v>
      </c>
      <c r="F33" t="str">
        <f>"_" &amp; ValveMod[[#This Row],[Obj]]</f>
        <v>_VAV_00108_001</v>
      </c>
      <c r="G33" t="s">
        <v>0</v>
      </c>
      <c r="H33">
        <f t="shared" si="3"/>
        <v>31</v>
      </c>
      <c r="I33" t="s">
        <v>1585</v>
      </c>
      <c r="J33" t="s">
        <v>3367</v>
      </c>
      <c r="K33" t="str">
        <f>SUBSTITUTE(HMIPATH_ValveModulating,"$",ValveMod[[#This Row],[ID]])</f>
        <v>ObjValveModulating.InOut[31]</v>
      </c>
      <c r="L33" t="str" cm="1">
        <f t="array" ref="L33">FValveModulating(ValveMod[[#This Row],[Obj]],ValveMod[[#This Row],[SubSystem]])</f>
        <v xml:space="preserve">#VAV_00108_001(feedbackRaw:="VAV-00108-001_FB",_x000D_
referenceRaw:="VAV-00108-001_SP",_x000D_
reset:=#Unit.AHU.Command.General_reset,
           Process:=#Unit.VAV_00108_001,
          InOut:=HVAC_R00108,
          Parameters:="HVAC_R00108"."VAV_00108_001".Parameters,
          Settings:="HVAC_R00108"."VAV_00108_001".Settings,
          Statistic:="HVAC_R00108"."VAV_00108_001".Statistics);
</v>
      </c>
      <c r="M33" t="str" cm="1">
        <f t="array" ref="M33">MUXValveModulating(ValveMod[[#This Row],[Obj]],ValveMod[[#This Row],[SubSystem]])</f>
        <v xml:space="preserve">#VAV_00108_001(Object := "HVAC_R00108".VAV_00108_001,
                InOut := "ObjValveModulating".InOut[#_VAV_00108_001],
                Parameters:="ObjValveModulating".Parameters[#_VAV_00108_001],
                Statistics:="ObjValveModulating".Statistic[#_VAV_00108_001]);
</v>
      </c>
      <c r="N33" t="str" cm="1">
        <f t="array" ref="N33">ValveAMS(ValveMod[[#This Row],[Tag]])</f>
        <v xml:space="preserve">"AlarmWarningAMS"(Base:=#Valve.InOut[_VAV_00108_001].Base,
                  ConfigAMS:=#Valve.AMS[_VAV_00108_001],
                  ResultAMS:=#Unit.AMS);
</v>
      </c>
    </row>
    <row r="34" spans="1:14" x14ac:dyDescent="0.3">
      <c r="A34" t="s">
        <v>145</v>
      </c>
      <c r="B34" t="s">
        <v>1081</v>
      </c>
      <c r="C34" t="s">
        <v>1442</v>
      </c>
      <c r="D34" t="str" cm="1">
        <f t="array" ref="D34">GetSystemFromTag(ValveMod[[#This Row],[Obj]])</f>
        <v>HVAC_R00109</v>
      </c>
      <c r="E34" t="str">
        <f>SUBSTITUTE(ValveMod[[#This Row],[RealTag]],"-","_")</f>
        <v>VAV_00109_001</v>
      </c>
      <c r="F34" t="str">
        <f>"_" &amp; ValveMod[[#This Row],[Obj]]</f>
        <v>_VAV_00109_001</v>
      </c>
      <c r="G34" t="s">
        <v>0</v>
      </c>
      <c r="H34">
        <f t="shared" si="3"/>
        <v>32</v>
      </c>
      <c r="I34" t="s">
        <v>1585</v>
      </c>
      <c r="J34" t="s">
        <v>3367</v>
      </c>
      <c r="K34" t="str">
        <f>SUBSTITUTE(HMIPATH_ValveModulating,"$",ValveMod[[#This Row],[ID]])</f>
        <v>ObjValveModulating.InOut[32]</v>
      </c>
      <c r="L34" t="str" cm="1">
        <f t="array" ref="L34">FValveModulating(ValveMod[[#This Row],[Obj]],ValveMod[[#This Row],[SubSystem]])</f>
        <v xml:space="preserve">#VAV_00109_001(feedbackRaw:="VAV-00109-001_FB",_x000D_
referenceRaw:="VAV-00109-001_SP",_x000D_
reset:=#Unit.AHU.Command.General_reset,
           Process:=#Unit.VAV_00109_001,
          InOut:=HVAC_R00109,
          Parameters:="HVAC_R00109"."VAV_00109_001".Parameters,
          Settings:="HVAC_R00109"."VAV_00109_001".Settings,
          Statistic:="HVAC_R00109"."VAV_00109_001".Statistics);
</v>
      </c>
      <c r="M34" t="str" cm="1">
        <f t="array" ref="M34">MUXValveModulating(ValveMod[[#This Row],[Obj]],ValveMod[[#This Row],[SubSystem]])</f>
        <v xml:space="preserve">#VAV_00109_001(Object := "HVAC_R00109".VAV_00109_001,
                InOut := "ObjValveModulating".InOut[#_VAV_00109_001],
                Parameters:="ObjValveModulating".Parameters[#_VAV_00109_001],
                Statistics:="ObjValveModulating".Statistic[#_VAV_00109_001]);
</v>
      </c>
      <c r="N34" t="str" cm="1">
        <f t="array" ref="N34">ValveAMS(ValveMod[[#This Row],[Tag]])</f>
        <v xml:space="preserve">"AlarmWarningAMS"(Base:=#Valve.InOut[_VAV_00109_001].Base,
                  ConfigAMS:=#Valve.AMS[_VAV_00109_001],
                  ResultAMS:=#Unit.AMS);
</v>
      </c>
    </row>
    <row r="35" spans="1:14" x14ac:dyDescent="0.3">
      <c r="A35" t="s">
        <v>145</v>
      </c>
      <c r="B35" t="s">
        <v>1082</v>
      </c>
      <c r="C35" t="s">
        <v>1442</v>
      </c>
      <c r="D35" t="str" cm="1">
        <f t="array" ref="D35">GetSystemFromTag(ValveMod[[#This Row],[Obj]])</f>
        <v>HVAC_R00110</v>
      </c>
      <c r="E35" t="str">
        <f>SUBSTITUTE(ValveMod[[#This Row],[RealTag]],"-","_")</f>
        <v>VAV_00110_001</v>
      </c>
      <c r="F35" t="str">
        <f>"_" &amp; ValveMod[[#This Row],[Obj]]</f>
        <v>_VAV_00110_001</v>
      </c>
      <c r="G35" t="s">
        <v>0</v>
      </c>
      <c r="H35">
        <f t="shared" si="3"/>
        <v>33</v>
      </c>
      <c r="I35" t="s">
        <v>1585</v>
      </c>
      <c r="J35" t="s">
        <v>3367</v>
      </c>
      <c r="K35" t="str">
        <f>SUBSTITUTE(HMIPATH_ValveModulating,"$",ValveMod[[#This Row],[ID]])</f>
        <v>ObjValveModulating.InOut[33]</v>
      </c>
      <c r="L35" t="str" cm="1">
        <f t="array" ref="L35">FValveModulating(ValveMod[[#This Row],[Obj]],ValveMod[[#This Row],[SubSystem]])</f>
        <v xml:space="preserve">#VAV_00110_001(feedbackRaw:="VAV-00110-001_FB",_x000D_
referenceRaw:="VAV-00110-001_SP",_x000D_
reset:=#Unit.AHU.Command.General_reset,
           Process:=#Unit.VAV_00110_001,
          InOut:=HVAC_R00110,
          Parameters:="HVAC_R00110"."VAV_00110_001".Parameters,
          Settings:="HVAC_R00110"."VAV_00110_001".Settings,
          Statistic:="HVAC_R00110"."VAV_00110_001".Statistics);
</v>
      </c>
      <c r="M35" t="str" cm="1">
        <f t="array" ref="M35">MUXValveModulating(ValveMod[[#This Row],[Obj]],ValveMod[[#This Row],[SubSystem]])</f>
        <v xml:space="preserve">#VAV_00110_001(Object := "HVAC_R00110".VAV_00110_001,
                InOut := "ObjValveModulating".InOut[#_VAV_00110_001],
                Parameters:="ObjValveModulating".Parameters[#_VAV_00110_001],
                Statistics:="ObjValveModulating".Statistic[#_VAV_00110_001]);
</v>
      </c>
      <c r="N35" t="str" cm="1">
        <f t="array" ref="N35">ValveAMS(ValveMod[[#This Row],[Tag]])</f>
        <v xml:space="preserve">"AlarmWarningAMS"(Base:=#Valve.InOut[_VAV_00110_001].Base,
                  ConfigAMS:=#Valve.AMS[_VAV_00110_001],
                  ResultAMS:=#Unit.AMS);
</v>
      </c>
    </row>
    <row r="36" spans="1:14" x14ac:dyDescent="0.3">
      <c r="A36" t="s">
        <v>145</v>
      </c>
      <c r="B36" t="s">
        <v>1083</v>
      </c>
      <c r="C36" t="s">
        <v>1442</v>
      </c>
      <c r="D36" t="str" cm="1">
        <f t="array" ref="D36">GetSystemFromTag(ValveMod[[#This Row],[Obj]])</f>
        <v>HVAC_R00111</v>
      </c>
      <c r="E36" t="str">
        <f>SUBSTITUTE(ValveMod[[#This Row],[RealTag]],"-","_")</f>
        <v>VAV_00111_001</v>
      </c>
      <c r="F36" t="str">
        <f>"_" &amp; ValveMod[[#This Row],[Obj]]</f>
        <v>_VAV_00111_001</v>
      </c>
      <c r="G36" t="s">
        <v>0</v>
      </c>
      <c r="H36">
        <f t="shared" si="3"/>
        <v>34</v>
      </c>
      <c r="I36" t="s">
        <v>1585</v>
      </c>
      <c r="J36" t="s">
        <v>3367</v>
      </c>
      <c r="K36" t="str">
        <f>SUBSTITUTE(HMIPATH_ValveModulating,"$",ValveMod[[#This Row],[ID]])</f>
        <v>ObjValveModulating.InOut[34]</v>
      </c>
      <c r="L36" t="str" cm="1">
        <f t="array" ref="L36">FValveModulating(ValveMod[[#This Row],[Obj]],ValveMod[[#This Row],[SubSystem]])</f>
        <v xml:space="preserve">#VAV_00111_001(feedbackRaw:="VAV-00111-001_FB",_x000D_
referenceRaw:="VAV-00111-001_SP",_x000D_
reset:=#Unit.AHU.Command.General_reset,
           Process:=#Unit.VAV_00111_001,
          InOut:=HVAC_R00111,
          Parameters:="HVAC_R00111"."VAV_00111_001".Parameters,
          Settings:="HVAC_R00111"."VAV_00111_001".Settings,
          Statistic:="HVAC_R00111"."VAV_00111_001".Statistics);
</v>
      </c>
      <c r="M36" t="str" cm="1">
        <f t="array" ref="M36">MUXValveModulating(ValveMod[[#This Row],[Obj]],ValveMod[[#This Row],[SubSystem]])</f>
        <v xml:space="preserve">#VAV_00111_001(Object := "HVAC_R00111".VAV_00111_001,
                InOut := "ObjValveModulating".InOut[#_VAV_00111_001],
                Parameters:="ObjValveModulating".Parameters[#_VAV_00111_001],
                Statistics:="ObjValveModulating".Statistic[#_VAV_00111_001]);
</v>
      </c>
      <c r="N36" t="str" cm="1">
        <f t="array" ref="N36">ValveAMS(ValveMod[[#This Row],[Tag]])</f>
        <v xml:space="preserve">"AlarmWarningAMS"(Base:=#Valve.InOut[_VAV_00111_001].Base,
                  ConfigAMS:=#Valve.AMS[_VAV_00111_001],
                  ResultAMS:=#Unit.AMS);
</v>
      </c>
    </row>
    <row r="37" spans="1:14" x14ac:dyDescent="0.3">
      <c r="A37" t="s">
        <v>145</v>
      </c>
      <c r="B37" t="s">
        <v>1085</v>
      </c>
      <c r="C37" t="s">
        <v>1442</v>
      </c>
      <c r="D37" t="str" cm="1">
        <f t="array" ref="D37">GetSystemFromTag(ValveMod[[#This Row],[Obj]])</f>
        <v>HVAC_R00113</v>
      </c>
      <c r="E37" t="str">
        <f>SUBSTITUTE(ValveMod[[#This Row],[RealTag]],"-","_")</f>
        <v>VAV_00113_001</v>
      </c>
      <c r="F37" t="str">
        <f>"_" &amp; ValveMod[[#This Row],[Obj]]</f>
        <v>_VAV_00113_001</v>
      </c>
      <c r="G37" t="s">
        <v>0</v>
      </c>
      <c r="H37">
        <f t="shared" si="3"/>
        <v>35</v>
      </c>
      <c r="I37" t="s">
        <v>1585</v>
      </c>
      <c r="J37" t="s">
        <v>3367</v>
      </c>
      <c r="K37" t="str">
        <f>SUBSTITUTE(HMIPATH_ValveModulating,"$",ValveMod[[#This Row],[ID]])</f>
        <v>ObjValveModulating.InOut[35]</v>
      </c>
      <c r="L37" t="str" cm="1">
        <f t="array" ref="L37">FValveModulating(ValveMod[[#This Row],[Obj]],ValveMod[[#This Row],[SubSystem]])</f>
        <v xml:space="preserve">#VAV_00113_001(feedbackRaw:="VAV-00113-001_FB",_x000D_
referenceRaw:="VAV-00113-001_SP",_x000D_
reset:=#Unit.AHU.Command.General_reset,
           Process:=#Unit.VAV_00113_001,
          InOut:=HVAC_R00113,
          Parameters:="HVAC_R00113"."VAV_00113_001".Parameters,
          Settings:="HVAC_R00113"."VAV_00113_001".Settings,
          Statistic:="HVAC_R00113"."VAV_00113_001".Statistics);
</v>
      </c>
      <c r="M37" t="str" cm="1">
        <f t="array" ref="M37">MUXValveModulating(ValveMod[[#This Row],[Obj]],ValveMod[[#This Row],[SubSystem]])</f>
        <v xml:space="preserve">#VAV_00113_001(Object := "HVAC_R00113".VAV_00113_001,
                InOut := "ObjValveModulating".InOut[#_VAV_00113_001],
                Parameters:="ObjValveModulating".Parameters[#_VAV_00113_001],
                Statistics:="ObjValveModulating".Statistic[#_VAV_00113_001]);
</v>
      </c>
      <c r="N37" t="str" cm="1">
        <f t="array" ref="N37">ValveAMS(ValveMod[[#This Row],[Tag]])</f>
        <v xml:space="preserve">"AlarmWarningAMS"(Base:=#Valve.InOut[_VAV_00113_001].Base,
                  ConfigAMS:=#Valve.AMS[_VAV_00113_001],
                  ResultAMS:=#Unit.AMS);
</v>
      </c>
    </row>
    <row r="38" spans="1:14" x14ac:dyDescent="0.3">
      <c r="A38" t="s">
        <v>145</v>
      </c>
      <c r="B38" t="s">
        <v>1087</v>
      </c>
      <c r="C38" t="s">
        <v>1442</v>
      </c>
      <c r="D38" t="str" cm="1">
        <f t="array" ref="D38">GetSystemFromTag(ValveMod[[#This Row],[Obj]])</f>
        <v>HVAC_R00114</v>
      </c>
      <c r="E38" t="str">
        <f>SUBSTITUTE(ValveMod[[#This Row],[RealTag]],"-","_")</f>
        <v>VAV_00114_001</v>
      </c>
      <c r="F38" t="str">
        <f>"_" &amp; ValveMod[[#This Row],[Obj]]</f>
        <v>_VAV_00114_001</v>
      </c>
      <c r="G38" t="s">
        <v>0</v>
      </c>
      <c r="H38">
        <f t="shared" si="3"/>
        <v>36</v>
      </c>
      <c r="I38" t="s">
        <v>1585</v>
      </c>
      <c r="J38" t="s">
        <v>3367</v>
      </c>
      <c r="K38" t="str">
        <f>SUBSTITUTE(HMIPATH_ValveModulating,"$",ValveMod[[#This Row],[ID]])</f>
        <v>ObjValveModulating.InOut[36]</v>
      </c>
      <c r="L38" t="str" cm="1">
        <f t="array" ref="L38">FValveModulating(ValveMod[[#This Row],[Obj]],ValveMod[[#This Row],[SubSystem]])</f>
        <v xml:space="preserve">#VAV_00114_001(feedbackRaw:="VAV-00114-001_FB",_x000D_
referenceRaw:="VAV-00114-001_SP",_x000D_
reset:=#Unit.AHU.Command.General_reset,
           Process:=#Unit.VAV_00114_001,
          InOut:=HVAC_R00114,
          Parameters:="HVAC_R00114"."VAV_00114_001".Parameters,
          Settings:="HVAC_R00114"."VAV_00114_001".Settings,
          Statistic:="HVAC_R00114"."VAV_00114_001".Statistics);
</v>
      </c>
      <c r="M38" t="str" cm="1">
        <f t="array" ref="M38">MUXValveModulating(ValveMod[[#This Row],[Obj]],ValveMod[[#This Row],[SubSystem]])</f>
        <v xml:space="preserve">#VAV_00114_001(Object := "HVAC_R00114".VAV_00114_001,
                InOut := "ObjValveModulating".InOut[#_VAV_00114_001],
                Parameters:="ObjValveModulating".Parameters[#_VAV_00114_001],
                Statistics:="ObjValveModulating".Statistic[#_VAV_00114_001]);
</v>
      </c>
      <c r="N38" t="str" cm="1">
        <f t="array" ref="N38">ValveAMS(ValveMod[[#This Row],[Tag]])</f>
        <v xml:space="preserve">"AlarmWarningAMS"(Base:=#Valve.InOut[_VAV_00114_001].Base,
                  ConfigAMS:=#Valve.AMS[_VAV_00114_001],
                  ResultAMS:=#Unit.AMS);
</v>
      </c>
    </row>
    <row r="39" spans="1:14" x14ac:dyDescent="0.3">
      <c r="A39" t="s">
        <v>145</v>
      </c>
      <c r="B39" t="s">
        <v>1088</v>
      </c>
      <c r="C39" t="s">
        <v>1442</v>
      </c>
      <c r="D39" t="str" cm="1">
        <f t="array" ref="D39">GetSystemFromTag(ValveMod[[#This Row],[Obj]])</f>
        <v>HVAC_R00115</v>
      </c>
      <c r="E39" t="str">
        <f>SUBSTITUTE(ValveMod[[#This Row],[RealTag]],"-","_")</f>
        <v>VAV_00115_001</v>
      </c>
      <c r="F39" t="str">
        <f>"_" &amp; ValveMod[[#This Row],[Obj]]</f>
        <v>_VAV_00115_001</v>
      </c>
      <c r="G39" t="s">
        <v>0</v>
      </c>
      <c r="H39">
        <f t="shared" si="3"/>
        <v>37</v>
      </c>
      <c r="I39" t="s">
        <v>1585</v>
      </c>
      <c r="J39" t="s">
        <v>3367</v>
      </c>
      <c r="K39" t="str">
        <f>SUBSTITUTE(HMIPATH_ValveModulating,"$",ValveMod[[#This Row],[ID]])</f>
        <v>ObjValveModulating.InOut[37]</v>
      </c>
      <c r="L39" t="str" cm="1">
        <f t="array" ref="L39">FValveModulating(ValveMod[[#This Row],[Obj]],ValveMod[[#This Row],[SubSystem]])</f>
        <v xml:space="preserve">#VAV_00115_001(feedbackRaw:="VAV-00115-001_FB",_x000D_
referenceRaw:="VAV-00115-001_SP",_x000D_
reset:=#Unit.AHU.Command.General_reset,
           Process:=#Unit.VAV_00115_001,
          InOut:=HVAC_R00115,
          Parameters:="HVAC_R00115"."VAV_00115_001".Parameters,
          Settings:="HVAC_R00115"."VAV_00115_001".Settings,
          Statistic:="HVAC_R00115"."VAV_00115_001".Statistics);
</v>
      </c>
      <c r="M39" t="str" cm="1">
        <f t="array" ref="M39">MUXValveModulating(ValveMod[[#This Row],[Obj]],ValveMod[[#This Row],[SubSystem]])</f>
        <v xml:space="preserve">#VAV_00115_001(Object := "HVAC_R00115".VAV_00115_001,
                InOut := "ObjValveModulating".InOut[#_VAV_00115_001],
                Parameters:="ObjValveModulating".Parameters[#_VAV_00115_001],
                Statistics:="ObjValveModulating".Statistic[#_VAV_00115_001]);
</v>
      </c>
      <c r="N39" t="str" cm="1">
        <f t="array" ref="N39">ValveAMS(ValveMod[[#This Row],[Tag]])</f>
        <v xml:space="preserve">"AlarmWarningAMS"(Base:=#Valve.InOut[_VAV_00115_001].Base,
                  ConfigAMS:=#Valve.AMS[_VAV_00115_001],
                  ResultAMS:=#Unit.AMS);
</v>
      </c>
    </row>
    <row r="40" spans="1:14" x14ac:dyDescent="0.3">
      <c r="A40" t="s">
        <v>145</v>
      </c>
      <c r="B40" t="s">
        <v>1089</v>
      </c>
      <c r="C40" t="s">
        <v>1442</v>
      </c>
      <c r="D40" t="str" cm="1">
        <f t="array" ref="D40">GetSystemFromTag(ValveMod[[#This Row],[Obj]])</f>
        <v>HVAC_R00116</v>
      </c>
      <c r="E40" t="str">
        <f>SUBSTITUTE(ValveMod[[#This Row],[RealTag]],"-","_")</f>
        <v>VAV_00116_001</v>
      </c>
      <c r="F40" t="str">
        <f>"_" &amp; ValveMod[[#This Row],[Obj]]</f>
        <v>_VAV_00116_001</v>
      </c>
      <c r="G40" t="s">
        <v>0</v>
      </c>
      <c r="H40">
        <f t="shared" si="3"/>
        <v>38</v>
      </c>
      <c r="I40" t="s">
        <v>1585</v>
      </c>
      <c r="J40" t="s">
        <v>3367</v>
      </c>
      <c r="K40" t="str">
        <f>SUBSTITUTE(HMIPATH_ValveModulating,"$",ValveMod[[#This Row],[ID]])</f>
        <v>ObjValveModulating.InOut[38]</v>
      </c>
      <c r="L40" t="str" cm="1">
        <f t="array" ref="L40">FValveModulating(ValveMod[[#This Row],[Obj]],ValveMod[[#This Row],[SubSystem]])</f>
        <v xml:space="preserve">#VAV_00116_001(feedbackRaw:="VAV-00116-001_FB",_x000D_
referenceRaw:="VAV-00116-001_SP",_x000D_
reset:=#Unit.AHU.Command.General_reset,
           Process:=#Unit.VAV_00116_001,
          InOut:=HVAC_R00116,
          Parameters:="HVAC_R00116"."VAV_00116_001".Parameters,
          Settings:="HVAC_R00116"."VAV_00116_001".Settings,
          Statistic:="HVAC_R00116"."VAV_00116_001".Statistics);
</v>
      </c>
      <c r="M40" t="str" cm="1">
        <f t="array" ref="M40">MUXValveModulating(ValveMod[[#This Row],[Obj]],ValveMod[[#This Row],[SubSystem]])</f>
        <v xml:space="preserve">#VAV_00116_001(Object := "HVAC_R00116".VAV_00116_001,
                InOut := "ObjValveModulating".InOut[#_VAV_00116_001],
                Parameters:="ObjValveModulating".Parameters[#_VAV_00116_001],
                Statistics:="ObjValveModulating".Statistic[#_VAV_00116_001]);
</v>
      </c>
      <c r="N40" t="str" cm="1">
        <f t="array" ref="N40">ValveAMS(ValveMod[[#This Row],[Tag]])</f>
        <v xml:space="preserve">"AlarmWarningAMS"(Base:=#Valve.InOut[_VAV_00116_001].Base,
                  ConfigAMS:=#Valve.AMS[_VAV_00116_001],
                  ResultAMS:=#Unit.AMS);
</v>
      </c>
    </row>
    <row r="41" spans="1:14" x14ac:dyDescent="0.3">
      <c r="A41" t="s">
        <v>145</v>
      </c>
      <c r="B41" t="s">
        <v>1480</v>
      </c>
      <c r="C41" t="s">
        <v>1442</v>
      </c>
      <c r="D41" t="str" cm="1">
        <f t="array" ref="D41">GetSystemFromTag(ValveMod[[#This Row],[Obj]])</f>
        <v>HVAC_SU01</v>
      </c>
      <c r="E41" t="str">
        <f>SUBSTITUTE(ValveMod[[#This Row],[RealTag]],"-","_")</f>
        <v>CEM_SU01_001</v>
      </c>
      <c r="F41" t="str">
        <f>"_" &amp; ValveMod[[#This Row],[Obj]]</f>
        <v>_CEM_SU01_001</v>
      </c>
      <c r="G41" t="s">
        <v>0</v>
      </c>
      <c r="H41">
        <f t="shared" ref="H41:H50" si="4">ROW()-2</f>
        <v>39</v>
      </c>
      <c r="I41" t="s">
        <v>1585</v>
      </c>
      <c r="J41" t="s">
        <v>3367</v>
      </c>
      <c r="K41" t="str">
        <f>SUBSTITUTE(HMIPATH_ValveModulating,"$",ValveMod[[#This Row],[ID]])</f>
        <v>ObjValveModulating.InOut[39]</v>
      </c>
      <c r="L41" t="str" cm="1">
        <f t="array" ref="L41">FValveModulating(ValveMod[[#This Row],[Obj]],ValveMod[[#This Row],[SubSystem]])</f>
        <v xml:space="preserve">#CEM_SU01_001(feedbackRaw:="CEM-SU01-001_FB",_x000D_
referenceRaw:="CEM-SU01-001_SP",_x000D_
reset:=#Unit.AHU.Command.General_reset,
           Process:=#Unit.CEM_SU01_001,
          InOut:=HVAC_SU01,
          Parameters:="HVAC_SU01"."CEM_SU01_001".Parameters,
          Settings:="HVAC_SU01"."CEM_SU01_001".Settings,
          Statistic:="HVAC_SU01"."CEM_SU01_001".Statistics);
</v>
      </c>
      <c r="M41" t="str" cm="1">
        <f t="array" ref="M41">MUXValveModulating(ValveMod[[#This Row],[Obj]],ValveMod[[#This Row],[SubSystem]])</f>
        <v xml:space="preserve">#CEM_SU01_001(Object := "HVAC_SU01".CEM_SU01_001,
                InOut := "ObjValveModulating".InOut[#_CEM_SU01_001],
                Parameters:="ObjValveModulating".Parameters[#_CEM_SU01_001],
                Statistics:="ObjValveModulating".Statistic[#_CEM_SU01_001]);
</v>
      </c>
      <c r="N41" t="str" cm="1">
        <f t="array" ref="N41">ValveAMS(ValveMod[[#This Row],[Tag]])</f>
        <v xml:space="preserve">"AlarmWarningAMS"(Base:=#Valve.InOut[_CEM_SU01_001].Base,
                  ConfigAMS:=#Valve.AMS[_CEM_SU01_001],
                  ResultAMS:=#Unit.AMS);
</v>
      </c>
    </row>
    <row r="42" spans="1:14" x14ac:dyDescent="0.3">
      <c r="A42" t="s">
        <v>145</v>
      </c>
      <c r="B42"/>
      <c r="C42" t="s">
        <v>1443</v>
      </c>
      <c r="E42" t="str">
        <f>SUBSTITUTE(ValveMod[[#This Row],[RealTag]],"-","_")</f>
        <v/>
      </c>
      <c r="F42" t="str">
        <f>"_" &amp; ValveMod[[#This Row],[Obj]]</f>
        <v>_</v>
      </c>
      <c r="G42" t="s">
        <v>0</v>
      </c>
      <c r="H42">
        <f t="shared" si="4"/>
        <v>40</v>
      </c>
      <c r="I42" t="s">
        <v>1585</v>
      </c>
      <c r="J42" t="s">
        <v>3367</v>
      </c>
      <c r="K42" t="str">
        <f>SUBSTITUTE(HMIPATH_ValveModulating,"$",ValveMod[[#This Row],[ID]])</f>
        <v>ObjValveModulating.InOut[40]</v>
      </c>
      <c r="L42" t="str" cm="1">
        <f t="array" ref="L42">FValveModulating(ValveMod[[#This Row],[Obj]],ValveMod[[#This Row],[System]])</f>
        <v/>
      </c>
      <c r="M42" t="str" cm="1">
        <f t="array" ref="M42">MUXValveModulating(ValveMod[[#This Row],[Obj]],ValveMod[[#This Row],[System]])</f>
        <v/>
      </c>
      <c r="N42" t="str" cm="1">
        <f t="array" ref="N42">ValveAMS(ValveMod[[#This Row],[Tag]])</f>
        <v xml:space="preserve">"AlarmWarningAMS"(Base:=#Valve.InOut[_].Base,
                  ConfigAMS:=#Valve.AMS[_],
                  ResultAMS:=#Unit.AMS);
</v>
      </c>
    </row>
    <row r="43" spans="1:14" x14ac:dyDescent="0.3">
      <c r="A43" t="s">
        <v>145</v>
      </c>
      <c r="B43" t="s">
        <v>1482</v>
      </c>
      <c r="C43" t="s">
        <v>1443</v>
      </c>
      <c r="D43" t="str" cm="1">
        <f t="array" ref="D43">GetSystemFromTag(ValveMod[[#This Row],[Obj]])</f>
        <v>HVAC_SU01B</v>
      </c>
      <c r="E43" t="str">
        <f>SUBSTITUTE(ValveMod[[#This Row],[RealTag]],"-","_")</f>
        <v>CEM_SU01B_002</v>
      </c>
      <c r="F43" t="str">
        <f>"_" &amp; ValveMod[[#This Row],[Obj]]</f>
        <v>_CEM_SU01B_002</v>
      </c>
      <c r="G43" t="s">
        <v>0</v>
      </c>
      <c r="H43">
        <f t="shared" si="4"/>
        <v>41</v>
      </c>
      <c r="I43" t="s">
        <v>1585</v>
      </c>
      <c r="J43" t="s">
        <v>3367</v>
      </c>
      <c r="K43" t="str">
        <f>SUBSTITUTE(HMIPATH_ValveModulating,"$",ValveMod[[#This Row],[ID]])</f>
        <v>ObjValveModulating.InOut[41]</v>
      </c>
      <c r="L43" t="str" cm="1">
        <f t="array" ref="L43">FValveModulating(ValveMod[[#This Row],[Obj]],ValveMod[[#This Row],[SubSystem]])</f>
        <v xml:space="preserve">#CEM_SU01B_002(feedbackRaw:="CEM-SU01B-002_FB",_x000D_
referenceRaw:="CEM-SU01B-002_SP",_x000D_
reset:=#Unit.AHU.Command.General_reset,
           Process:=#Unit.CEM_SU01B_002,
          InOut:=HVAC_SU01B,
          Parameters:="HVAC_SU01B"."CEM_SU01B_002".Parameters,
          Settings:="HVAC_SU01B"."CEM_SU01B_002".Settings,
          Statistic:="HVAC_SU01B"."CEM_SU01B_002".Statistics);
</v>
      </c>
      <c r="M43" t="str" cm="1">
        <f t="array" ref="M43">MUXValveModulating(ValveMod[[#This Row],[Obj]],ValveMod[[#This Row],[SubSystem]])</f>
        <v xml:space="preserve">#CEM_SU01B_002(Object := "HVAC_SU01B".CEM_SU01B_002,
                InOut := "ObjValveModulating".InOut[#_CEM_SU01B_002],
                Parameters:="ObjValveModulating".Parameters[#_CEM_SU01B_002],
                Statistics:="ObjValveModulating".Statistic[#_CEM_SU01B_002]);
</v>
      </c>
      <c r="N43" t="str" cm="1">
        <f t="array" ref="N43">ValveAMS(ValveMod[[#This Row],[Tag]])</f>
        <v xml:space="preserve">"AlarmWarningAMS"(Base:=#Valve.InOut[_CEM_SU01B_002].Base,
                  ConfigAMS:=#Valve.AMS[_CEM_SU01B_002],
                  ResultAMS:=#Unit.AMS);
</v>
      </c>
    </row>
    <row r="44" spans="1:14" x14ac:dyDescent="0.3">
      <c r="A44" t="s">
        <v>145</v>
      </c>
      <c r="B44"/>
      <c r="C44" t="s">
        <v>1443</v>
      </c>
      <c r="E44" t="str">
        <f>SUBSTITUTE(ValveMod[[#This Row],[RealTag]],"-","_")</f>
        <v/>
      </c>
      <c r="F44" t="str">
        <f>"_" &amp; ValveMod[[#This Row],[Obj]]</f>
        <v>_</v>
      </c>
      <c r="G44" t="s">
        <v>0</v>
      </c>
      <c r="H44">
        <f t="shared" si="4"/>
        <v>42</v>
      </c>
      <c r="I44" t="s">
        <v>1585</v>
      </c>
      <c r="J44" t="s">
        <v>3367</v>
      </c>
      <c r="K44" t="str">
        <f>SUBSTITUTE(HMIPATH_ValveModulating,"$",ValveMod[[#This Row],[ID]])</f>
        <v>ObjValveModulating.InOut[42]</v>
      </c>
      <c r="L44" t="str" cm="1">
        <f t="array" ref="L44">FValveModulating(ValveMod[[#This Row],[Obj]],ValveMod[[#This Row],[System]])</f>
        <v/>
      </c>
      <c r="M44" t="str" cm="1">
        <f t="array" ref="M44">MUXValveModulating(ValveMod[[#This Row],[Obj]],ValveMod[[#This Row],[System]])</f>
        <v/>
      </c>
      <c r="N44" t="str" cm="1">
        <f t="array" ref="N44">ValveAMS(ValveMod[[#This Row],[Tag]])</f>
        <v xml:space="preserve">"AlarmWarningAMS"(Base:=#Valve.InOut[_].Base,
                  ConfigAMS:=#Valve.AMS[_],
                  ResultAMS:=#Unit.AMS);
</v>
      </c>
    </row>
    <row r="45" spans="1:14" x14ac:dyDescent="0.3">
      <c r="A45" t="s">
        <v>145</v>
      </c>
      <c r="E45" t="str">
        <f>SUBSTITUTE(ValveMod[[#This Row],[RealTag]],"-","_")</f>
        <v/>
      </c>
      <c r="F45" t="str">
        <f>"_" &amp; ValveMod[[#This Row],[Obj]]</f>
        <v>_</v>
      </c>
      <c r="G45" t="s">
        <v>0</v>
      </c>
      <c r="H45">
        <f t="shared" si="4"/>
        <v>43</v>
      </c>
      <c r="I45" t="s">
        <v>1585</v>
      </c>
      <c r="J45" t="s">
        <v>3367</v>
      </c>
      <c r="K45" t="str">
        <f>SUBSTITUTE(HMIPATH_ValveModulating,"$",ValveMod[[#This Row],[ID]])</f>
        <v>ObjValveModulating.InOut[43]</v>
      </c>
      <c r="L45" t="str" cm="1">
        <f t="array" ref="L45">FValveModulating(ValveMod[[#This Row],[Obj]],ValveMod[[#This Row],[System]])</f>
        <v/>
      </c>
      <c r="M45" t="str" cm="1">
        <f t="array" ref="M45">MUXValveModulating(ValveMod[[#This Row],[Obj]],ValveMod[[#This Row],[System]])</f>
        <v/>
      </c>
      <c r="N45" t="str" cm="1">
        <f t="array" ref="N45">ValveAMS(ValveMod[[#This Row],[Tag]])</f>
        <v xml:space="preserve">"AlarmWarningAMS"(Base:=#Valve.InOut[_].Base,
                  ConfigAMS:=#Valve.AMS[_],
                  ResultAMS:=#Unit.AMS);
</v>
      </c>
    </row>
    <row r="46" spans="1:14" x14ac:dyDescent="0.3">
      <c r="A46" t="s">
        <v>145</v>
      </c>
      <c r="E46" t="str">
        <f>SUBSTITUTE(ValveMod[[#This Row],[RealTag]],"-","_")</f>
        <v/>
      </c>
      <c r="F46" t="str">
        <f>"_" &amp; ValveMod[[#This Row],[Obj]]</f>
        <v>_</v>
      </c>
      <c r="G46" t="s">
        <v>0</v>
      </c>
      <c r="H46">
        <f t="shared" si="4"/>
        <v>44</v>
      </c>
      <c r="I46" t="s">
        <v>1585</v>
      </c>
      <c r="J46" t="s">
        <v>3367</v>
      </c>
      <c r="K46" t="str">
        <f>SUBSTITUTE(HMIPATH_ValveModulating,"$",ValveMod[[#This Row],[ID]])</f>
        <v>ObjValveModulating.InOut[44]</v>
      </c>
      <c r="L46" t="str" cm="1">
        <f t="array" ref="L46">FValveModulating(ValveMod[[#This Row],[Obj]],ValveMod[[#This Row],[System]])</f>
        <v/>
      </c>
      <c r="M46" t="str" cm="1">
        <f t="array" ref="M46">MUXValveModulating(ValveMod[[#This Row],[Obj]],ValveMod[[#This Row],[System]])</f>
        <v/>
      </c>
      <c r="N46" t="str" cm="1">
        <f t="array" ref="N46">ValveAMS(ValveMod[[#This Row],[Tag]])</f>
        <v xml:space="preserve">"AlarmWarningAMS"(Base:=#Valve.InOut[_].Base,
                  ConfigAMS:=#Valve.AMS[_],
                  ResultAMS:=#Unit.AMS);
</v>
      </c>
    </row>
    <row r="47" spans="1:14" x14ac:dyDescent="0.3">
      <c r="A47" t="s">
        <v>145</v>
      </c>
      <c r="E47" t="str">
        <f>SUBSTITUTE(ValveMod[[#This Row],[RealTag]],"-","_")</f>
        <v/>
      </c>
      <c r="F47" t="str">
        <f>"_" &amp; ValveMod[[#This Row],[Obj]]</f>
        <v>_</v>
      </c>
      <c r="G47" t="s">
        <v>0</v>
      </c>
      <c r="H47">
        <f t="shared" si="4"/>
        <v>45</v>
      </c>
      <c r="I47" t="s">
        <v>1585</v>
      </c>
      <c r="J47" t="s">
        <v>3367</v>
      </c>
      <c r="K47" t="str">
        <f>SUBSTITUTE(HMIPATH_ValveModulating,"$",ValveMod[[#This Row],[ID]])</f>
        <v>ObjValveModulating.InOut[45]</v>
      </c>
      <c r="L47" t="str" cm="1">
        <f t="array" ref="L47">FValveModulating(ValveMod[[#This Row],[Obj]],ValveMod[[#This Row],[System]])</f>
        <v/>
      </c>
      <c r="M47" t="str" cm="1">
        <f t="array" ref="M47">MUXValveModulating(ValveMod[[#This Row],[Obj]],ValveMod[[#This Row],[System]])</f>
        <v/>
      </c>
      <c r="N47" t="str" cm="1">
        <f t="array" ref="N47">ValveAMS(ValveMod[[#This Row],[Tag]])</f>
        <v xml:space="preserve">"AlarmWarningAMS"(Base:=#Valve.InOut[_].Base,
                  ConfigAMS:=#Valve.AMS[_],
                  ResultAMS:=#Unit.AMS);
</v>
      </c>
    </row>
    <row r="48" spans="1:14" x14ac:dyDescent="0.3">
      <c r="A48" t="s">
        <v>145</v>
      </c>
      <c r="E48" t="str">
        <f>SUBSTITUTE(ValveMod[[#This Row],[RealTag]],"-","_")</f>
        <v/>
      </c>
      <c r="F48" t="str">
        <f>"_" &amp; ValveMod[[#This Row],[Obj]]</f>
        <v>_</v>
      </c>
      <c r="G48" t="s">
        <v>0</v>
      </c>
      <c r="H48">
        <f t="shared" si="4"/>
        <v>46</v>
      </c>
      <c r="I48" t="s">
        <v>1585</v>
      </c>
      <c r="J48" t="s">
        <v>3367</v>
      </c>
      <c r="K48" t="str">
        <f>SUBSTITUTE(HMIPATH_ValveModulating,"$",ValveMod[[#This Row],[ID]])</f>
        <v>ObjValveModulating.InOut[46]</v>
      </c>
      <c r="L48" t="str" cm="1">
        <f t="array" ref="L48">FValveModulating(ValveMod[[#This Row],[Obj]],ValveMod[[#This Row],[System]])</f>
        <v/>
      </c>
      <c r="M48" t="str" cm="1">
        <f t="array" ref="M48">MUXValveModulating(ValveMod[[#This Row],[Obj]],ValveMod[[#This Row],[System]])</f>
        <v/>
      </c>
      <c r="N48" t="str" cm="1">
        <f t="array" ref="N48">ValveAMS(ValveMod[[#This Row],[Tag]])</f>
        <v xml:space="preserve">"AlarmWarningAMS"(Base:=#Valve.InOut[_].Base,
                  ConfigAMS:=#Valve.AMS[_],
                  ResultAMS:=#Unit.AMS);
</v>
      </c>
    </row>
    <row r="49" spans="1:14" x14ac:dyDescent="0.3">
      <c r="A49" t="s">
        <v>145</v>
      </c>
      <c r="E49" t="str">
        <f>SUBSTITUTE(ValveMod[[#This Row],[RealTag]],"-","_")</f>
        <v/>
      </c>
      <c r="F49" t="str">
        <f>"_" &amp; ValveMod[[#This Row],[Obj]]</f>
        <v>_</v>
      </c>
      <c r="G49" t="s">
        <v>0</v>
      </c>
      <c r="H49">
        <f t="shared" si="4"/>
        <v>47</v>
      </c>
      <c r="I49" t="s">
        <v>1585</v>
      </c>
      <c r="J49" t="s">
        <v>3367</v>
      </c>
      <c r="K49" t="str">
        <f>SUBSTITUTE(HMIPATH_ValveModulating,"$",ValveMod[[#This Row],[ID]])</f>
        <v>ObjValveModulating.InOut[47]</v>
      </c>
      <c r="L49" t="str" cm="1">
        <f t="array" ref="L49">FValveModulating(ValveMod[[#This Row],[Obj]],ValveMod[[#This Row],[System]])</f>
        <v/>
      </c>
      <c r="M49" t="str" cm="1">
        <f t="array" ref="M49">MUXValveModulating(ValveMod[[#This Row],[Obj]],ValveMod[[#This Row],[System]])</f>
        <v/>
      </c>
      <c r="N49" t="str" cm="1">
        <f t="array" ref="N49">ValveAMS(ValveMod[[#This Row],[Tag]])</f>
        <v xml:space="preserve">"AlarmWarningAMS"(Base:=#Valve.InOut[_].Base,
                  ConfigAMS:=#Valve.AMS[_],
                  ResultAMS:=#Unit.AMS);
</v>
      </c>
    </row>
    <row r="50" spans="1:14" x14ac:dyDescent="0.3">
      <c r="A50" t="s">
        <v>145</v>
      </c>
      <c r="E50" t="str">
        <f>SUBSTITUTE(ValveMod[[#This Row],[RealTag]],"-","_")</f>
        <v/>
      </c>
      <c r="F50" t="str">
        <f>"_" &amp; ValveMod[[#This Row],[Obj]]</f>
        <v>_</v>
      </c>
      <c r="G50" t="s">
        <v>0</v>
      </c>
      <c r="H50">
        <f t="shared" si="4"/>
        <v>48</v>
      </c>
      <c r="I50" t="s">
        <v>1585</v>
      </c>
      <c r="J50" t="s">
        <v>3367</v>
      </c>
      <c r="K50" t="str">
        <f>SUBSTITUTE(HMIPATH_ValveModulating,"$",ValveMod[[#This Row],[ID]])</f>
        <v>ObjValveModulating.InOut[48]</v>
      </c>
      <c r="L50" t="str" cm="1">
        <f t="array" ref="L50">FValveModulating(ValveMod[[#This Row],[Obj]],ValveMod[[#This Row],[System]])</f>
        <v/>
      </c>
      <c r="M50" t="str" cm="1">
        <f t="array" ref="M50">MUXValveModulating(ValveMod[[#This Row],[Obj]],ValveMod[[#This Row],[System]])</f>
        <v/>
      </c>
      <c r="N50" t="str" cm="1">
        <f t="array" ref="N50">ValveAMS(ValveMod[[#This Row],[Tag]])</f>
        <v xml:space="preserve">"AlarmWarningAMS"(Base:=#Valve.InOut[_].Base,
                  ConfigAMS:=#Valve.AMS[_],
                  ResultAMS:=#Unit.AMS);
</v>
      </c>
    </row>
    <row r="51" spans="1:14" x14ac:dyDescent="0.3">
      <c r="A51" t="s">
        <v>145</v>
      </c>
      <c r="B51" t="s">
        <v>652</v>
      </c>
      <c r="C51" t="s">
        <v>1442</v>
      </c>
      <c r="D51" t="s">
        <v>1610</v>
      </c>
      <c r="E51" t="str">
        <f>SUBSTITUTE(ValveMod[[#This Row],[RealTag]],"-","_")</f>
        <v>PICV_CLW_009</v>
      </c>
      <c r="F51" t="str">
        <f>"_" &amp; ValveMod[[#This Row],[Obj]]</f>
        <v>_PICV_CLW_009</v>
      </c>
      <c r="G51" t="s">
        <v>0</v>
      </c>
      <c r="H51">
        <f t="shared" ref="H51:H56" si="5">ROW()-2</f>
        <v>49</v>
      </c>
      <c r="I51" t="s">
        <v>1585</v>
      </c>
      <c r="J51" t="s">
        <v>3367</v>
      </c>
      <c r="K51" t="str">
        <f>SUBSTITUTE(HMIPATH_ValveModulating,"$",ValveMod[[#This Row],[ID]])</f>
        <v>ObjValveModulating.InOut[49]</v>
      </c>
      <c r="L51" t="str" cm="1">
        <f t="array" ref="L51">FValveModulating(ValveMod[[#This Row],[Obj]],ValveMod[[#This Row],[SubSystem]])</f>
        <v xml:space="preserve">#PICV_CLW_009(referenceRaw:="PICV-CLW-009_SP",_x000D_
reset:=#Unit.AHU.Command.General_reset,
           Process:=#Unit.PICV_CLW_009,
          InOut:=HVAC_SU01,
          Parameters:="HVAC_SU01"."PICV_CLW_009".Parameters,
          Settings:="HVAC_SU01"."PICV_CLW_009".Settings,
          Statistic:="HVAC_SU01"."PICV_CLW_009".Statistics);
</v>
      </c>
      <c r="M51" t="str" cm="1">
        <f t="array" ref="M51">MUXValveModulating(ValveMod[[#This Row],[Obj]],ValveMod[[#This Row],[SubSystem]])</f>
        <v xml:space="preserve">#PICV_CLW_009(Object := "HVAC_SU01".PICV_CLW_009,
                InOut := "ObjValveModulating".InOut[#_PICV_CLW_009],
                Parameters:="ObjValveModulating".Parameters[#_PICV_CLW_009],
                Statistics:="ObjValveModulating".Statistic[#_PICV_CLW_009]);
</v>
      </c>
      <c r="N51" t="str" cm="1">
        <f t="array" ref="N51">ValveAMS(ValveMod[[#This Row],[Tag]])</f>
        <v xml:space="preserve">"AlarmWarningAMS"(Base:=#Valve.InOut[_PICV_CLW_009].Base,
                  ConfigAMS:=#Valve.AMS[_PICV_CLW_009],
                  ResultAMS:=#Unit.AMS);
</v>
      </c>
    </row>
    <row r="52" spans="1:14" x14ac:dyDescent="0.3">
      <c r="A52" t="s">
        <v>145</v>
      </c>
      <c r="B52" t="s">
        <v>653</v>
      </c>
      <c r="C52" t="s">
        <v>1442</v>
      </c>
      <c r="D52" t="s">
        <v>1610</v>
      </c>
      <c r="E52" t="str">
        <f>SUBSTITUTE(ValveMod[[#This Row],[RealTag]],"-","_")</f>
        <v>PICV_HW_001</v>
      </c>
      <c r="F52" t="str">
        <f>"_" &amp; ValveMod[[#This Row],[Obj]]</f>
        <v>_PICV_HW_001</v>
      </c>
      <c r="G52" t="s">
        <v>0</v>
      </c>
      <c r="H52">
        <f t="shared" si="5"/>
        <v>50</v>
      </c>
      <c r="I52" t="s">
        <v>1585</v>
      </c>
      <c r="J52" t="s">
        <v>3367</v>
      </c>
      <c r="K52" t="str">
        <f>SUBSTITUTE(HMIPATH_ValveModulating,"$",ValveMod[[#This Row],[ID]])</f>
        <v>ObjValveModulating.InOut[50]</v>
      </c>
      <c r="L52" t="str" cm="1">
        <f t="array" ref="L52">FValveModulating(ValveMod[[#This Row],[Obj]],ValveMod[[#This Row],[SubSystem]])</f>
        <v xml:space="preserve">#PICV_HW_001(referenceRaw:="PICV-HW-001_SP",_x000D_
reset:=#Unit.AHU.Command.General_reset,
           Process:=#Unit.PICV_HW_001,
          InOut:=HVAC_SU01,
          Parameters:="HVAC_SU01"."PICV_HW_001".Parameters,
          Settings:="HVAC_SU01"."PICV_HW_001".Settings,
          Statistic:="HVAC_SU01"."PICV_HW_001".Statistics);
</v>
      </c>
      <c r="M52" t="str" cm="1">
        <f t="array" ref="M52">MUXValveModulating(ValveMod[[#This Row],[Obj]],ValveMod[[#This Row],[SubSystem]])</f>
        <v xml:space="preserve">#PICV_HW_001(Object := "HVAC_SU01".PICV_HW_001,
                InOut := "ObjValveModulating".InOut[#_PICV_HW_001],
                Parameters:="ObjValveModulating".Parameters[#_PICV_HW_001],
                Statistics:="ObjValveModulating".Statistic[#_PICV_HW_001]);
</v>
      </c>
      <c r="N52" t="str" cm="1">
        <f t="array" ref="N52">ValveAMS(ValveMod[[#This Row],[Tag]])</f>
        <v xml:space="preserve">"AlarmWarningAMS"(Base:=#Valve.InOut[_PICV_HW_001].Base,
                  ConfigAMS:=#Valve.AMS[_PICV_HW_001],
                  ResultAMS:=#Unit.AMS);
</v>
      </c>
    </row>
    <row r="53" spans="1:14" x14ac:dyDescent="0.3">
      <c r="A53" t="s">
        <v>145</v>
      </c>
      <c r="B53" t="s">
        <v>655</v>
      </c>
      <c r="C53" t="s">
        <v>1443</v>
      </c>
      <c r="D53" t="s">
        <v>1611</v>
      </c>
      <c r="E53" t="str">
        <f>SUBSTITUTE(ValveMod[[#This Row],[RealTag]],"-","_")</f>
        <v>PICV_CLW_006</v>
      </c>
      <c r="F53" t="str">
        <f>"_" &amp; ValveMod[[#This Row],[Obj]]</f>
        <v>_PICV_CLW_006</v>
      </c>
      <c r="G53" t="s">
        <v>0</v>
      </c>
      <c r="H53">
        <f t="shared" si="5"/>
        <v>51</v>
      </c>
      <c r="I53" t="s">
        <v>1585</v>
      </c>
      <c r="J53" t="s">
        <v>3367</v>
      </c>
      <c r="K53" t="str">
        <f>SUBSTITUTE(HMIPATH_ValveModulating,"$",ValveMod[[#This Row],[ID]])</f>
        <v>ObjValveModulating.InOut[51]</v>
      </c>
      <c r="L53" t="str" cm="1">
        <f t="array" ref="L53">FValveModulating(ValveMod[[#This Row],[Obj]],ValveMod[[#This Row],[SubSystem]])</f>
        <v xml:space="preserve">#PICV_CLW_006(referenceRaw:="PICV-CLW-006_SP",_x000D_
reset:=#Unit.AHU.Command.General_reset,
           Process:=#Unit.PICV_CLW_006,
          InOut:=HVAC_SU01B,
          Parameters:="HVAC_SU01B"."PICV_CLW_006".Parameters,
          Settings:="HVAC_SU01B"."PICV_CLW_006".Settings,
          Statistic:="HVAC_SU01B"."PICV_CLW_006".Statistics);
</v>
      </c>
      <c r="M53" t="str" cm="1">
        <f t="array" ref="M53">MUXValveModulating(ValveMod[[#This Row],[Obj]],ValveMod[[#This Row],[SubSystem]])</f>
        <v xml:space="preserve">#PICV_CLW_006(Object := "HVAC_SU01B".PICV_CLW_006,
                InOut := "ObjValveModulating".InOut[#_PICV_CLW_006],
                Parameters:="ObjValveModulating".Parameters[#_PICV_CLW_006],
                Statistics:="ObjValveModulating".Statistic[#_PICV_CLW_006]);
</v>
      </c>
      <c r="N53" t="str" cm="1">
        <f t="array" ref="N53">ValveAMS(ValveMod[[#This Row],[Tag]])</f>
        <v xml:space="preserve">"AlarmWarningAMS"(Base:=#Valve.InOut[_PICV_CLW_006].Base,
                  ConfigAMS:=#Valve.AMS[_PICV_CLW_006],
                  ResultAMS:=#Unit.AMS);
</v>
      </c>
    </row>
    <row r="54" spans="1:14" x14ac:dyDescent="0.3">
      <c r="A54" t="s">
        <v>145</v>
      </c>
      <c r="B54" t="s">
        <v>656</v>
      </c>
      <c r="C54" t="s">
        <v>1442</v>
      </c>
      <c r="D54" t="s">
        <v>1612</v>
      </c>
      <c r="E54" t="str">
        <f>SUBSTITUTE(ValveMod[[#This Row],[RealTag]],"-","_")</f>
        <v>PICV_CLW_001</v>
      </c>
      <c r="F54" t="str">
        <f>"_" &amp; ValveMod[[#This Row],[Obj]]</f>
        <v>_PICV_CLW_001</v>
      </c>
      <c r="G54" t="s">
        <v>0</v>
      </c>
      <c r="H54">
        <f t="shared" si="5"/>
        <v>52</v>
      </c>
      <c r="I54" t="s">
        <v>1585</v>
      </c>
      <c r="J54" t="s">
        <v>3367</v>
      </c>
      <c r="K54" t="str">
        <f>SUBSTITUTE(HMIPATH_ValveModulating,"$",ValveMod[[#This Row],[ID]])</f>
        <v>ObjValveModulating.InOut[52]</v>
      </c>
      <c r="L54" t="str" cm="1">
        <f t="array" ref="L54">FValveModulating(ValveMod[[#This Row],[Obj]],ValveMod[[#This Row],[SubSystem]])</f>
        <v xml:space="preserve">#PICV_CLW_001(referenceRaw:="PICV-CLW-001_SP",_x000D_
reset:=#Unit.AHU.Command.General_reset,
           Process:=#Unit.PICV_CLW_001,
          InOut:=HVAC_R00103,
          Parameters:="HVAC_R00103"."PICV_CLW_001".Parameters,
          Settings:="HVAC_R00103"."PICV_CLW_001".Settings,
          Statistic:="HVAC_R00103"."PICV_CLW_001".Statistics);
</v>
      </c>
      <c r="M54" t="str" cm="1">
        <f t="array" ref="M54">MUXValveModulating(ValveMod[[#This Row],[Obj]],ValveMod[[#This Row],[SubSystem]])</f>
        <v xml:space="preserve">#PICV_CLW_001(Object := "HVAC_R00103".PICV_CLW_001,
                InOut := "ObjValveModulating".InOut[#_PICV_CLW_001],
                Parameters:="ObjValveModulating".Parameters[#_PICV_CLW_001],
                Statistics:="ObjValveModulating".Statistic[#_PICV_CLW_001]);
</v>
      </c>
      <c r="N54" t="str" cm="1">
        <f t="array" ref="N54">ValveAMS(ValveMod[[#This Row],[Tag]])</f>
        <v xml:space="preserve">"AlarmWarningAMS"(Base:=#Valve.InOut[_PICV_CLW_001].Base,
                  ConfigAMS:=#Valve.AMS[_PICV_CLW_001],
                  ResultAMS:=#Unit.AMS);
</v>
      </c>
    </row>
    <row r="55" spans="1:14" x14ac:dyDescent="0.3">
      <c r="A55" t="s">
        <v>145</v>
      </c>
      <c r="B55" t="s">
        <v>658</v>
      </c>
      <c r="C55" t="s">
        <v>1442</v>
      </c>
      <c r="D55" t="s">
        <v>1613</v>
      </c>
      <c r="E55" t="str">
        <f>SUBSTITUTE(ValveMod[[#This Row],[RealTag]],"-","_")</f>
        <v>PICV_CLW_002</v>
      </c>
      <c r="F55" t="str">
        <f>"_" &amp; ValveMod[[#This Row],[Obj]]</f>
        <v>_PICV_CLW_002</v>
      </c>
      <c r="G55" t="s">
        <v>0</v>
      </c>
      <c r="H55">
        <f t="shared" si="5"/>
        <v>53</v>
      </c>
      <c r="I55" t="s">
        <v>1585</v>
      </c>
      <c r="J55" t="s">
        <v>3367</v>
      </c>
      <c r="K55" t="str">
        <f>SUBSTITUTE(HMIPATH_ValveModulating,"$",ValveMod[[#This Row],[ID]])</f>
        <v>ObjValveModulating.InOut[53]</v>
      </c>
      <c r="L55" t="str" cm="1">
        <f t="array" ref="L55">FValveModulating(ValveMod[[#This Row],[Obj]],ValveMod[[#This Row],[SubSystem]])</f>
        <v xml:space="preserve">#PICV_CLW_002(referenceRaw:="PICV-CLW-002_SP",_x000D_
reset:=#Unit.AHU.Command.General_reset,
           Process:=#Unit.PICV_CLW_002,
          InOut:=HVAC_R00104,
          Parameters:="HVAC_R00104"."PICV_CLW_002".Parameters,
          Settings:="HVAC_R00104"."PICV_CLW_002".Settings,
          Statistic:="HVAC_R00104"."PICV_CLW_002".Statistics);
</v>
      </c>
      <c r="M55" t="str" cm="1">
        <f t="array" ref="M55">MUXValveModulating(ValveMod[[#This Row],[Obj]],ValveMod[[#This Row],[SubSystem]])</f>
        <v xml:space="preserve">#PICV_CLW_002(Object := "HVAC_R00104".PICV_CLW_002,
                InOut := "ObjValveModulating".InOut[#_PICV_CLW_002],
                Parameters:="ObjValveModulating".Parameters[#_PICV_CLW_002],
                Statistics:="ObjValveModulating".Statistic[#_PICV_CLW_002]);
</v>
      </c>
      <c r="N55" t="str" cm="1">
        <f t="array" ref="N55">ValveAMS(ValveMod[[#This Row],[Tag]])</f>
        <v xml:space="preserve">"AlarmWarningAMS"(Base:=#Valve.InOut[_PICV_CLW_002].Base,
                  ConfigAMS:=#Valve.AMS[_PICV_CLW_002],
                  ResultAMS:=#Unit.AMS);
</v>
      </c>
    </row>
    <row r="56" spans="1:14" x14ac:dyDescent="0.3">
      <c r="A56" t="s">
        <v>145</v>
      </c>
      <c r="B56" t="s">
        <v>660</v>
      </c>
      <c r="C56" t="s">
        <v>1442</v>
      </c>
      <c r="D56" t="s">
        <v>1615</v>
      </c>
      <c r="E56" t="str">
        <f>SUBSTITUTE(ValveMod[[#This Row],[RealTag]],"-","_")</f>
        <v>PICV_CLW_003</v>
      </c>
      <c r="F56" t="str">
        <f>"_" &amp; ValveMod[[#This Row],[Obj]]</f>
        <v>_PICV_CLW_003</v>
      </c>
      <c r="G56" t="s">
        <v>0</v>
      </c>
      <c r="H56">
        <f t="shared" si="5"/>
        <v>54</v>
      </c>
      <c r="I56" t="s">
        <v>1585</v>
      </c>
      <c r="J56" t="s">
        <v>3367</v>
      </c>
      <c r="K56" t="str">
        <f>SUBSTITUTE(HMIPATH_ValveModulating,"$",ValveMod[[#This Row],[ID]])</f>
        <v>ObjValveModulating.InOut[54]</v>
      </c>
      <c r="L56" t="str" cm="1">
        <f t="array" ref="L56">FValveModulating(ValveMod[[#This Row],[Obj]],ValveMod[[#This Row],[SubSystem]])</f>
        <v xml:space="preserve">#PICV_CLW_003(referenceRaw:="PICV-CLW-003_SP",_x000D_
reset:=#Unit.AHU.Command.General_reset,
           Process:=#Unit.PICV_CLW_003,
          InOut:=HVAC_R00106,
          Parameters:="HVAC_R00106"."PICV_CLW_003".Parameters,
          Settings:="HVAC_R00106"."PICV_CLW_003".Settings,
          Statistic:="HVAC_R00106"."PICV_CLW_003".Statistics);
</v>
      </c>
      <c r="M56" t="str" cm="1">
        <f t="array" ref="M56">MUXValveModulating(ValveMod[[#This Row],[Obj]],ValveMod[[#This Row],[SubSystem]])</f>
        <v xml:space="preserve">#PICV_CLW_003(Object := "HVAC_R00106".PICV_CLW_003,
                InOut := "ObjValveModulating".InOut[#_PICV_CLW_003],
                Parameters:="ObjValveModulating".Parameters[#_PICV_CLW_003],
                Statistics:="ObjValveModulating".Statistic[#_PICV_CLW_003]);
</v>
      </c>
      <c r="N56" t="str" cm="1">
        <f t="array" ref="N56">ValveAMS(ValveMod[[#This Row],[Tag]])</f>
        <v xml:space="preserve">"AlarmWarningAMS"(Base:=#Valve.InOut[_PICV_CLW_003].Base,
                  ConfigAMS:=#Valve.AMS[_PICV_CLW_003],
                  ResultAMS:=#Unit.AMS);
</v>
      </c>
    </row>
    <row r="57" spans="1:14" x14ac:dyDescent="0.3">
      <c r="A57" t="s">
        <v>145</v>
      </c>
      <c r="B57" t="s">
        <v>662</v>
      </c>
      <c r="C57" t="s">
        <v>1442</v>
      </c>
      <c r="D57" t="s">
        <v>1616</v>
      </c>
      <c r="E57" t="str">
        <f>SUBSTITUTE(ValveMod[[#This Row],[RealTag]],"-","_")</f>
        <v>PICV_CLW_004</v>
      </c>
      <c r="F57" t="str">
        <f>"_" &amp; ValveMod[[#This Row],[Obj]]</f>
        <v>_PICV_CLW_004</v>
      </c>
      <c r="G57" t="s">
        <v>0</v>
      </c>
      <c r="H57">
        <f t="shared" ref="H57:H62" si="6">ROW()-2</f>
        <v>55</v>
      </c>
      <c r="I57" t="s">
        <v>1585</v>
      </c>
      <c r="J57" t="s">
        <v>3367</v>
      </c>
      <c r="K57" t="str">
        <f>SUBSTITUTE(HMIPATH_ValveModulating,"$",ValveMod[[#This Row],[ID]])</f>
        <v>ObjValveModulating.InOut[55]</v>
      </c>
      <c r="L57" t="str" cm="1">
        <f t="array" ref="L57">FValveModulating(ValveMod[[#This Row],[Obj]],ValveMod[[#This Row],[SubSystem]])</f>
        <v xml:space="preserve">#PICV_CLW_004(referenceRaw:="PICV-CLW-004 _SP",_x000D_
reset:=#Unit.AHU.Command.General_reset,
           Process:=#Unit.PICV_CLW_004,
          InOut:=HVAC_R00107,
          Parameters:="HVAC_R00107"."PICV_CLW_004".Parameters,
          Settings:="HVAC_R00107"."PICV_CLW_004".Settings,
          Statistic:="HVAC_R00107"."PICV_CLW_004".Statistics);
</v>
      </c>
      <c r="M57" t="str" cm="1">
        <f t="array" ref="M57">MUXValveModulating(ValveMod[[#This Row],[Obj]],ValveMod[[#This Row],[SubSystem]])</f>
        <v xml:space="preserve">#PICV_CLW_004(Object := "HVAC_R00107".PICV_CLW_004,
                InOut := "ObjValveModulating".InOut[#_PICV_CLW_004],
                Parameters:="ObjValveModulating".Parameters[#_PICV_CLW_004],
                Statistics:="ObjValveModulating".Statistic[#_PICV_CLW_004]);
</v>
      </c>
      <c r="N57" t="str" cm="1">
        <f t="array" ref="N57">ValveAMS(ValveMod[[#This Row],[Tag]])</f>
        <v xml:space="preserve">"AlarmWarningAMS"(Base:=#Valve.InOut[_PICV_CLW_004].Base,
                  ConfigAMS:=#Valve.AMS[_PICV_CLW_004],
                  ResultAMS:=#Unit.AMS);
</v>
      </c>
    </row>
    <row r="58" spans="1:14" x14ac:dyDescent="0.3">
      <c r="A58" t="s">
        <v>145</v>
      </c>
      <c r="B58" t="s">
        <v>664</v>
      </c>
      <c r="C58" t="s">
        <v>1442</v>
      </c>
      <c r="D58" t="s">
        <v>1617</v>
      </c>
      <c r="E58" t="str">
        <f>SUBSTITUTE(ValveMod[[#This Row],[RealTag]],"-","_")</f>
        <v>PICV_CLW_007</v>
      </c>
      <c r="F58" t="str">
        <f>"_" &amp; ValveMod[[#This Row],[Obj]]</f>
        <v>_PICV_CLW_007</v>
      </c>
      <c r="G58" t="s">
        <v>0</v>
      </c>
      <c r="H58">
        <f t="shared" si="6"/>
        <v>56</v>
      </c>
      <c r="I58" t="s">
        <v>1585</v>
      </c>
      <c r="J58" t="s">
        <v>3367</v>
      </c>
      <c r="K58" t="str">
        <f>SUBSTITUTE(HMIPATH_ValveModulating,"$",ValveMod[[#This Row],[ID]])</f>
        <v>ObjValveModulating.InOut[56]</v>
      </c>
      <c r="L58" t="str" cm="1">
        <f t="array" ref="L58">FValveModulating(ValveMod[[#This Row],[Obj]],ValveMod[[#This Row],[SubSystem]])</f>
        <v xml:space="preserve">#PICV_CLW_007(referenceRaw:="PICV-CLW-007_SP",_x000D_
reset:=#Unit.AHU.Command.General_reset,
           Process:=#Unit.PICV_CLW_007,
          InOut:=HVAC_R00108,
          Parameters:="HVAC_R00108"."PICV_CLW_007".Parameters,
          Settings:="HVAC_R00108"."PICV_CLW_007".Settings,
          Statistic:="HVAC_R00108"."PICV_CLW_007".Statistics);
</v>
      </c>
      <c r="M58" t="str" cm="1">
        <f t="array" ref="M58">MUXValveModulating(ValveMod[[#This Row],[Obj]],ValveMod[[#This Row],[SubSystem]])</f>
        <v xml:space="preserve">#PICV_CLW_007(Object := "HVAC_R00108".PICV_CLW_007,
                InOut := "ObjValveModulating".InOut[#_PICV_CLW_007],
                Parameters:="ObjValveModulating".Parameters[#_PICV_CLW_007],
                Statistics:="ObjValveModulating".Statistic[#_PICV_CLW_007]);
</v>
      </c>
      <c r="N58" t="str" cm="1">
        <f t="array" ref="N58">ValveAMS(ValveMod[[#This Row],[Tag]])</f>
        <v xml:space="preserve">"AlarmWarningAMS"(Base:=#Valve.InOut[_PICV_CLW_007].Base,
                  ConfigAMS:=#Valve.AMS[_PICV_CLW_007],
                  ResultAMS:=#Unit.AMS);
</v>
      </c>
    </row>
    <row r="59" spans="1:14" x14ac:dyDescent="0.3">
      <c r="A59" t="s">
        <v>145</v>
      </c>
      <c r="B59" t="s">
        <v>666</v>
      </c>
      <c r="C59" t="s">
        <v>1442</v>
      </c>
      <c r="D59" t="s">
        <v>1618</v>
      </c>
      <c r="E59" t="str">
        <f>SUBSTITUTE(ValveMod[[#This Row],[RealTag]],"-","_")</f>
        <v>PICV_CLW_008</v>
      </c>
      <c r="F59" t="str">
        <f>"_" &amp; ValveMod[[#This Row],[Obj]]</f>
        <v>_PICV_CLW_008</v>
      </c>
      <c r="G59" t="s">
        <v>0</v>
      </c>
      <c r="H59">
        <f t="shared" si="6"/>
        <v>57</v>
      </c>
      <c r="I59" t="s">
        <v>1585</v>
      </c>
      <c r="J59" t="s">
        <v>3367</v>
      </c>
      <c r="K59" t="str">
        <f>SUBSTITUTE(HMIPATH_ValveModulating,"$",ValveMod[[#This Row],[ID]])</f>
        <v>ObjValveModulating.InOut[57]</v>
      </c>
      <c r="L59" t="str" cm="1">
        <f t="array" ref="L59">FValveModulating(ValveMod[[#This Row],[Obj]],ValveMod[[#This Row],[SubSystem]])</f>
        <v xml:space="preserve">#PICV_CLW_008(referenceRaw:="PICV-CLW-008_SP",_x000D_
reset:=#Unit.AHU.Command.General_reset,
           Process:=#Unit.PICV_CLW_008,
          InOut:=HVAC_R00109,
          Parameters:="HVAC_R00109"."PICV_CLW_008".Parameters,
          Settings:="HVAC_R00109"."PICV_CLW_008".Settings,
          Statistic:="HVAC_R00109"."PICV_CLW_008".Statistics);
</v>
      </c>
      <c r="M59" t="str" cm="1">
        <f t="array" ref="M59">MUXValveModulating(ValveMod[[#This Row],[Obj]],ValveMod[[#This Row],[SubSystem]])</f>
        <v xml:space="preserve">#PICV_CLW_008(Object := "HVAC_R00109".PICV_CLW_008,
                InOut := "ObjValveModulating".InOut[#_PICV_CLW_008],
                Parameters:="ObjValveModulating".Parameters[#_PICV_CLW_008],
                Statistics:="ObjValveModulating".Statistic[#_PICV_CLW_008]);
</v>
      </c>
      <c r="N59" t="str" cm="1">
        <f t="array" ref="N59">ValveAMS(ValveMod[[#This Row],[Tag]])</f>
        <v xml:space="preserve">"AlarmWarningAMS"(Base:=#Valve.InOut[_PICV_CLW_008].Base,
                  ConfigAMS:=#Valve.AMS[_PICV_CLW_008],
                  ResultAMS:=#Unit.AMS);
</v>
      </c>
    </row>
    <row r="60" spans="1:14" x14ac:dyDescent="0.3">
      <c r="A60" t="s">
        <v>145</v>
      </c>
      <c r="B60" t="s">
        <v>668</v>
      </c>
      <c r="C60" t="s">
        <v>1442</v>
      </c>
      <c r="D60" t="s">
        <v>1619</v>
      </c>
      <c r="E60" t="str">
        <f>SUBSTITUTE(ValveMod[[#This Row],[RealTag]],"-","_")</f>
        <v>PICV_CLW_010</v>
      </c>
      <c r="F60" t="str">
        <f>"_" &amp; ValveMod[[#This Row],[Obj]]</f>
        <v>_PICV_CLW_010</v>
      </c>
      <c r="G60" t="s">
        <v>0</v>
      </c>
      <c r="H60">
        <f t="shared" si="6"/>
        <v>58</v>
      </c>
      <c r="I60" t="s">
        <v>1585</v>
      </c>
      <c r="J60" t="s">
        <v>3367</v>
      </c>
      <c r="K60" t="str">
        <f>SUBSTITUTE(HMIPATH_ValveModulating,"$",ValveMod[[#This Row],[ID]])</f>
        <v>ObjValveModulating.InOut[58]</v>
      </c>
      <c r="L60" t="str" cm="1">
        <f t="array" ref="L60">FValveModulating(ValveMod[[#This Row],[Obj]],ValveMod[[#This Row],[SubSystem]])</f>
        <v xml:space="preserve">#PICV_CLW_010(referenceRaw:="PICV-CLW-010_SP",_x000D_
reset:=#Unit.AHU.Command.General_reset,
           Process:=#Unit.PICV_CLW_010,
          InOut:=HVAC_R00110,
          Parameters:="HVAC_R00110"."PICV_CLW_010".Parameters,
          Settings:="HVAC_R00110"."PICV_CLW_010".Settings,
          Statistic:="HVAC_R00110"."PICV_CLW_010".Statistics);
</v>
      </c>
      <c r="M60" t="str" cm="1">
        <f t="array" ref="M60">MUXValveModulating(ValveMod[[#This Row],[Obj]],ValveMod[[#This Row],[SubSystem]])</f>
        <v xml:space="preserve">#PICV_CLW_010(Object := "HVAC_R00110".PICV_CLW_010,
                InOut := "ObjValveModulating".InOut[#_PICV_CLW_010],
                Parameters:="ObjValveModulating".Parameters[#_PICV_CLW_010],
                Statistics:="ObjValveModulating".Statistic[#_PICV_CLW_010]);
</v>
      </c>
      <c r="N60" t="str" cm="1">
        <f t="array" ref="N60">ValveAMS(ValveMod[[#This Row],[Tag]])</f>
        <v xml:space="preserve">"AlarmWarningAMS"(Base:=#Valve.InOut[_PICV_CLW_010].Base,
                  ConfigAMS:=#Valve.AMS[_PICV_CLW_010],
                  ResultAMS:=#Unit.AMS);
</v>
      </c>
    </row>
    <row r="61" spans="1:14" x14ac:dyDescent="0.3">
      <c r="A61" t="s">
        <v>145</v>
      </c>
      <c r="B61" t="s">
        <v>670</v>
      </c>
      <c r="C61" t="s">
        <v>1442</v>
      </c>
      <c r="D61" t="s">
        <v>1620</v>
      </c>
      <c r="E61" t="str">
        <f>SUBSTITUTE(ValveMod[[#This Row],[RealTag]],"-","_")</f>
        <v>PICV_CLW_005</v>
      </c>
      <c r="F61" t="str">
        <f>"_" &amp; ValveMod[[#This Row],[Obj]]</f>
        <v>_PICV_CLW_005</v>
      </c>
      <c r="G61" t="s">
        <v>0</v>
      </c>
      <c r="H61">
        <f t="shared" si="6"/>
        <v>59</v>
      </c>
      <c r="I61" t="s">
        <v>1585</v>
      </c>
      <c r="J61" t="s">
        <v>3367</v>
      </c>
      <c r="K61" t="str">
        <f>SUBSTITUTE(HMIPATH_ValveModulating,"$",ValveMod[[#This Row],[ID]])</f>
        <v>ObjValveModulating.InOut[59]</v>
      </c>
      <c r="L61" t="str" cm="1">
        <f t="array" ref="L61">FValveModulating(ValveMod[[#This Row],[Obj]],ValveMod[[#This Row],[SubSystem]])</f>
        <v xml:space="preserve">#PICV_CLW_005(referenceRaw:="PICV-CLW-005_SP",_x000D_
reset:=#Unit.AHU.Command.General_reset,
           Process:=#Unit.PICV_CLW_005,
          InOut:=HVAC_R00111,
          Parameters:="HVAC_R00111"."PICV_CLW_005".Parameters,
          Settings:="HVAC_R00111"."PICV_CLW_005".Settings,
          Statistic:="HVAC_R00111"."PICV_CLW_005".Statistics);
</v>
      </c>
      <c r="M61" t="str" cm="1">
        <f t="array" ref="M61">MUXValveModulating(ValveMod[[#This Row],[Obj]],ValveMod[[#This Row],[SubSystem]])</f>
        <v xml:space="preserve">#PICV_CLW_005(Object := "HVAC_R00111".PICV_CLW_005,
                InOut := "ObjValveModulating".InOut[#_PICV_CLW_005],
                Parameters:="ObjValveModulating".Parameters[#_PICV_CLW_005],
                Statistics:="ObjValveModulating".Statistic[#_PICV_CLW_005]);
</v>
      </c>
      <c r="N61" t="str" cm="1">
        <f t="array" ref="N61">ValveAMS(ValveMod[[#This Row],[Tag]])</f>
        <v xml:space="preserve">"AlarmWarningAMS"(Base:=#Valve.InOut[_PICV_CLW_005].Base,
                  ConfigAMS:=#Valve.AMS[_PICV_CLW_005],
                  ResultAMS:=#Unit.AMS);
</v>
      </c>
    </row>
    <row r="62" spans="1:14" x14ac:dyDescent="0.3">
      <c r="A62" t="s">
        <v>145</v>
      </c>
      <c r="B62" t="s">
        <v>672</v>
      </c>
      <c r="C62" t="s">
        <v>1442</v>
      </c>
      <c r="D62" t="s">
        <v>1614</v>
      </c>
      <c r="E62" t="str">
        <f>SUBSTITUTE(ValveMod[[#This Row],[RealTag]],"-","_")</f>
        <v>PICV_CLW_011</v>
      </c>
      <c r="F62" t="str">
        <f>"_" &amp; ValveMod[[#This Row],[Obj]]</f>
        <v>_PICV_CLW_011</v>
      </c>
      <c r="G62" t="s">
        <v>0</v>
      </c>
      <c r="H62">
        <f t="shared" si="6"/>
        <v>60</v>
      </c>
      <c r="I62" t="s">
        <v>1585</v>
      </c>
      <c r="J62" t="s">
        <v>3367</v>
      </c>
      <c r="K62" t="str">
        <f>SUBSTITUTE(HMIPATH_ValveModulating,"$",ValveMod[[#This Row],[ID]])</f>
        <v>ObjValveModulating.InOut[60]</v>
      </c>
      <c r="L62" t="str" cm="1">
        <f t="array" ref="L62">FValveModulating(ValveMod[[#This Row],[Obj]],ValveMod[[#This Row],[SubSystem]])</f>
        <v xml:space="preserve">#PICV_CLW_011(referenceRaw:="PICV-CLW-011_SP",_x000D_
reset:=#Unit.AHU.Command.General_reset,
           Process:=#Unit.PICV_CLW_011,
          InOut:=HVAC_R00115,
          Parameters:="HVAC_R00115"."PICV_CLW_011".Parameters,
          Settings:="HVAC_R00115"."PICV_CLW_011".Settings,
          Statistic:="HVAC_R00115"."PICV_CLW_011".Statistics);
</v>
      </c>
      <c r="M62" t="str" cm="1">
        <f t="array" ref="M62">MUXValveModulating(ValveMod[[#This Row],[Obj]],ValveMod[[#This Row],[SubSystem]])</f>
        <v xml:space="preserve">#PICV_CLW_011(Object := "HVAC_R00115".PICV_CLW_011,
                InOut := "ObjValveModulating".InOut[#_PICV_CLW_011],
                Parameters:="ObjValveModulating".Parameters[#_PICV_CLW_011],
                Statistics:="ObjValveModulating".Statistic[#_PICV_CLW_011]);
</v>
      </c>
      <c r="N62" t="str" cm="1">
        <f t="array" ref="N62">ValveAMS(ValveMod[[#This Row],[Tag]])</f>
        <v xml:space="preserve">"AlarmWarningAMS"(Base:=#Valve.InOut[_PICV_CLW_011].Base,
                  ConfigAMS:=#Valve.AMS[_PICV_CLW_011],
                  ResultAMS:=#Unit.AMS);
</v>
      </c>
    </row>
  </sheetData>
  <conditionalFormatting sqref="E2:E62">
    <cfRule type="duplicateValues" dxfId="1" priority="5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B2FFC-EBC0-459A-863B-6D9E9AE4213C}">
  <sheetPr codeName="Sheet8">
    <tabColor theme="4" tint="-0.499984740745262"/>
  </sheetPr>
  <dimension ref="A1:M2"/>
  <sheetViews>
    <sheetView topLeftCell="B1" workbookViewId="0">
      <selection activeCell="I2" sqref="I2"/>
    </sheetView>
  </sheetViews>
  <sheetFormatPr defaultRowHeight="16.5" x14ac:dyDescent="0.3"/>
  <cols>
    <col min="1" max="1" width="21.625" customWidth="1"/>
    <col min="2" max="2" width="21.625" style="3" customWidth="1"/>
    <col min="3" max="8" width="21.625" customWidth="1"/>
    <col min="9" max="9" width="9.375" customWidth="1"/>
    <col min="10" max="10" width="36.75" customWidth="1"/>
    <col min="11" max="11" width="22.875" customWidth="1"/>
  </cols>
  <sheetData>
    <row r="1" spans="1:13" x14ac:dyDescent="0.3">
      <c r="A1" t="s">
        <v>141</v>
      </c>
      <c r="B1" t="s">
        <v>7</v>
      </c>
      <c r="C1" s="3" t="s">
        <v>132</v>
      </c>
      <c r="D1" t="s">
        <v>5</v>
      </c>
      <c r="E1" t="s">
        <v>2</v>
      </c>
      <c r="F1" t="s">
        <v>3</v>
      </c>
      <c r="G1" t="s">
        <v>4</v>
      </c>
      <c r="H1" t="s">
        <v>31</v>
      </c>
      <c r="I1" t="s">
        <v>34</v>
      </c>
      <c r="J1" t="s">
        <v>32</v>
      </c>
      <c r="K1" t="s">
        <v>33</v>
      </c>
      <c r="L1" t="s">
        <v>879</v>
      </c>
      <c r="M1" t="s">
        <v>162</v>
      </c>
    </row>
    <row r="2" spans="1:13" x14ac:dyDescent="0.3">
      <c r="A2" t="s">
        <v>143</v>
      </c>
      <c r="B2" t="s">
        <v>877</v>
      </c>
      <c r="C2" s="3"/>
      <c r="D2" t="str">
        <f>SUBSTITUTE(MotorOnOff[[#This Row],[RealTag]],"-","_")</f>
        <v>SPARE_OnOffMotor_0</v>
      </c>
      <c r="E2" t="str">
        <f>"_" &amp; MotorOnOff[[#This Row],[Obj]]</f>
        <v>_SPARE_OnOffMotor_0</v>
      </c>
      <c r="F2" t="s">
        <v>0</v>
      </c>
      <c r="G2">
        <f>ROW()-2</f>
        <v>0</v>
      </c>
      <c r="H2" t="s">
        <v>1585</v>
      </c>
      <c r="I2" t="s">
        <v>3367</v>
      </c>
      <c r="J2" t="str">
        <f>SUBSTITUTE(HMIPATH_MotorOnOFF,"$",MotorOnOff[[#This Row],[ID]])</f>
        <v>ObjMotorOnOff.InOut[0]</v>
      </c>
      <c r="K2" t="str" cm="1">
        <f t="array" ref="K2">FMotorOnOff(MotorOnOff[[#This Row],[Obj]],MotorOnOff[[#This Row],[System]])</f>
        <v/>
      </c>
      <c r="L2" t="str" cm="1">
        <f t="array" ref="L2">MUXMotorOnOff(MotorOnOff[[#This Row],[Obj]],MotorOnOff[[#This Row],[System]])</f>
        <v/>
      </c>
      <c r="M2" t="str" cm="1">
        <f t="array" ref="M2">MotorModAMS(MotorOnOff[[#This Row],[Tag]])</f>
        <v/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00626-77CA-4225-9013-01B6C481DF41}">
  <sheetPr codeName="Sheet12">
    <tabColor theme="4" tint="-0.499984740745262"/>
  </sheetPr>
  <dimension ref="A1:S43"/>
  <sheetViews>
    <sheetView workbookViewId="0">
      <selection activeCell="M2" sqref="M2:M40"/>
    </sheetView>
  </sheetViews>
  <sheetFormatPr defaultRowHeight="16.5" x14ac:dyDescent="0.3"/>
  <cols>
    <col min="1" max="1" width="21.75" bestFit="1" customWidth="1"/>
    <col min="2" max="2" width="22.5" style="3" bestFit="1" customWidth="1"/>
    <col min="3" max="3" width="12.75" bestFit="1" customWidth="1"/>
    <col min="4" max="4" width="9.5" bestFit="1" customWidth="1"/>
    <col min="5" max="5" width="22.5" bestFit="1" customWidth="1"/>
    <col min="6" max="6" width="23.25" bestFit="1" customWidth="1"/>
    <col min="7" max="7" width="18.375" bestFit="1" customWidth="1"/>
    <col min="8" max="8" width="5.125" bestFit="1" customWidth="1"/>
    <col min="9" max="9" width="5.5" bestFit="1" customWidth="1"/>
    <col min="10" max="10" width="16.375" bestFit="1" customWidth="1"/>
    <col min="11" max="11" width="6.375" bestFit="1" customWidth="1"/>
    <col min="12" max="12" width="36" bestFit="1" customWidth="1"/>
    <col min="14" max="14" width="12.125" customWidth="1"/>
    <col min="16" max="16" width="16.25" customWidth="1"/>
    <col min="17" max="17" width="11" customWidth="1"/>
  </cols>
  <sheetData>
    <row r="1" spans="1:19" x14ac:dyDescent="0.3">
      <c r="A1" t="s">
        <v>141</v>
      </c>
      <c r="B1" t="s">
        <v>7</v>
      </c>
      <c r="C1" t="s">
        <v>1</v>
      </c>
      <c r="D1" s="3" t="s">
        <v>132</v>
      </c>
      <c r="E1" s="3" t="s">
        <v>1609</v>
      </c>
      <c r="F1" s="3" t="s">
        <v>16</v>
      </c>
      <c r="G1" t="s">
        <v>5</v>
      </c>
      <c r="H1" t="s">
        <v>2</v>
      </c>
      <c r="I1" t="s">
        <v>3</v>
      </c>
      <c r="J1" t="s">
        <v>4</v>
      </c>
      <c r="K1" t="s">
        <v>6</v>
      </c>
      <c r="L1" t="s">
        <v>31</v>
      </c>
      <c r="M1" t="s">
        <v>34</v>
      </c>
      <c r="N1" t="s">
        <v>32</v>
      </c>
      <c r="O1" t="s">
        <v>33</v>
      </c>
      <c r="P1" t="s">
        <v>879</v>
      </c>
      <c r="Q1" t="s">
        <v>162</v>
      </c>
      <c r="R1" t="s">
        <v>1500</v>
      </c>
      <c r="S1" t="s">
        <v>1499</v>
      </c>
    </row>
    <row r="2" spans="1:19" x14ac:dyDescent="0.3">
      <c r="A2" t="s">
        <v>146</v>
      </c>
      <c r="B2" t="s">
        <v>133</v>
      </c>
      <c r="C2" t="str">
        <f>RIGHT(ContPID[[#This Row],[RealTag]],LEN(ContPID[[#This Row],[RealTag]])-SEARCH("-",ContPID[[#This Row],[RealTag]],SEARCH("-",ContPID[[#This Row],[RealTag]])+1))</f>
        <v>0</v>
      </c>
      <c r="D2" s="3"/>
      <c r="E2" t="str" cm="1">
        <f t="array" ref="E2">GetSystemFromTag(ContPID[[#This Row],[Obj]])</f>
        <v>N/A</v>
      </c>
      <c r="F2" t="str" cm="1">
        <f t="array" ref="F2">GetSystemFromTag(ContPID[[#This Row],[Obj]])</f>
        <v>N/A</v>
      </c>
      <c r="G2" t="str">
        <f>SUBSTITUTE(SUBSTITUTE(ContPID[[#This Row],[RealTag]],"-","_"),"-","_")</f>
        <v>SPARE_PID_0</v>
      </c>
      <c r="H2" t="str">
        <f>"_" &amp;ContPID[[#This Row],[Obj]]</f>
        <v>_SPARE_PID_0</v>
      </c>
      <c r="I2" t="s">
        <v>0</v>
      </c>
      <c r="J2">
        <f>ROW()-2</f>
        <v>0</v>
      </c>
      <c r="L2" t="s">
        <v>1585</v>
      </c>
      <c r="M2" t="s">
        <v>3367</v>
      </c>
      <c r="N2" t="str">
        <f>SUBSTITUTE(HMIPATH_ContPID,"$",ContPID[[#This Row],[ID]])</f>
        <v>ObjContPID.InOut[0]</v>
      </c>
      <c r="O2" t="str" cm="1">
        <f t="array" ref="O2">FContPID(ContPID[[#This Row],[Obj]],ContPID[[#This Row],[SubSystem]],ContPID[[#This Row],[PV]])</f>
        <v/>
      </c>
      <c r="P2" t="str" cm="1">
        <f t="array" ref="P2">MUXContPID(ContPID[[#This Row],[Obj]],ContPID[[#This Row],[SubSystem]])</f>
        <v/>
      </c>
      <c r="Q2" t="str" cm="1">
        <f t="array" ref="Q2">PidAMS(ContPID[[#This Row],[Tag]])</f>
        <v/>
      </c>
      <c r="R2" t="s">
        <v>1501</v>
      </c>
      <c r="S2" t="s">
        <v>1502</v>
      </c>
    </row>
    <row r="3" spans="1:19" x14ac:dyDescent="0.3">
      <c r="A3" t="s">
        <v>146</v>
      </c>
      <c r="B3" s="3" t="s">
        <v>1517</v>
      </c>
      <c r="C3" t="str">
        <f>RIGHT(ContPID[[#This Row],[RealTag]],LEN(ContPID[[#This Row],[RealTag]])-SEARCH("-",ContPID[[#This Row],[RealTag]],SEARCH("-",ContPID[[#This Row],[RealTag]])+1))</f>
        <v>SU01-001</v>
      </c>
      <c r="D3" s="3" t="s">
        <v>1442</v>
      </c>
      <c r="E3" t="str" cm="1">
        <f t="array" ref="E3">GetSystemFromTag(ContPID[[#This Row],[Obj]])</f>
        <v>HVAC_SU01</v>
      </c>
      <c r="F3" t="str" cm="1">
        <f t="array" ref="F3">GetSystemFromTag(ContPID[[#This Row],[Obj]])</f>
        <v>HVAC_SU01</v>
      </c>
      <c r="G3" t="str">
        <f>SUBSTITUTE(SUBSTITUTE(ContPID[[#This Row],[RealTag]],"-","_"),"-","_")</f>
        <v>SA_PC_SU01_001</v>
      </c>
      <c r="H3" t="str">
        <f>"_" &amp;ContPID[[#This Row],[Obj]]</f>
        <v>_SA_PC_SU01_001</v>
      </c>
      <c r="I3" t="s">
        <v>0</v>
      </c>
      <c r="J3">
        <f t="shared" ref="J3:J7" si="0">ROW()-2</f>
        <v>1</v>
      </c>
      <c r="L3" t="s">
        <v>1585</v>
      </c>
      <c r="M3" t="s">
        <v>3367</v>
      </c>
      <c r="N3" t="str">
        <f>SUBSTITUTE(HMIPATH_ContPID,"$",ContPID[[#This Row],[ID]])</f>
        <v>ObjContPID.InOut[1]</v>
      </c>
      <c r="O3" t="str" cm="1">
        <f t="array" ref="O3">FContPID(ContPID[[#This Row],[Obj]],ContPID[[#This Row],[SubSystem]],ContPID[[#This Row],[PV]])</f>
        <v xml:space="preserve">#SA_PC_SU01_001(cycle:=#cycle,
           reset:=#Unit.AHU.Command.General_reset,
           Process:=#Unit.SA_PC_SU01_001,
           InOut:=HVAC_SU01,
           Parameters:="HVAC_SU01"."SA_PC_SU01_001".Parameters,
           Settings:="HVAC_SU01"."SA_PC_SU01_001".Settings);
</v>
      </c>
      <c r="P3" t="str" cm="1">
        <f t="array" ref="P3">MUXContPID(ContPID[[#This Row],[Obj]],ContPID[[#This Row],[SubSystem]])</f>
        <v xml:space="preserve">#SA_PC_SU01_001(Object := "HVAC_SU01".SA_PC_SU01_001,
                InOut := "ObjContPID".InOut[#_SA_PC_SU01_001],
                Parameters:="ObjContPID".Parameters[#_SA_PC_SU01_001]);
</v>
      </c>
      <c r="Q3" t="str" cm="1">
        <f t="array" ref="Q3">PidAMS(ContPID[[#This Row],[Tag]])</f>
        <v xml:space="preserve">"AlarmWarningAMS"(Base:=#PID.InOut[_SA_PC_SU01_001].Base,
                  ConfigAMS:=#PID.AMS[_SA_PC_SU01_001],
                  ResultAMS:=#Unit.AMS);
</v>
      </c>
      <c r="R3" t="s">
        <v>1501</v>
      </c>
      <c r="S3" t="s">
        <v>1502</v>
      </c>
    </row>
    <row r="4" spans="1:19" x14ac:dyDescent="0.3">
      <c r="A4" t="s">
        <v>146</v>
      </c>
      <c r="B4" s="3" t="s">
        <v>1518</v>
      </c>
      <c r="C4" t="str">
        <f>RIGHT(ContPID[[#This Row],[RealTag]],LEN(ContPID[[#This Row],[RealTag]])-SEARCH("-",ContPID[[#This Row],[RealTag]],SEARCH("-",ContPID[[#This Row],[RealTag]])+1))</f>
        <v>SU01-001</v>
      </c>
      <c r="D4" s="3" t="s">
        <v>1442</v>
      </c>
      <c r="E4" t="str" cm="1">
        <f t="array" ref="E4">GetSystemFromTag(ContPID[[#This Row],[Obj]])</f>
        <v>HVAC_SU01</v>
      </c>
      <c r="F4" t="str" cm="1">
        <f t="array" ref="F4">GetSystemFromTag(ContPID[[#This Row],[Obj]])</f>
        <v>HVAC_SU01</v>
      </c>
      <c r="G4" t="str">
        <f>SUBSTITUTE(SUBSTITUTE(ContPID[[#This Row],[RealTag]],"-","_"),"-","_")</f>
        <v>RA_PC_SU01_001</v>
      </c>
      <c r="H4" t="str">
        <f>"_" &amp;ContPID[[#This Row],[Obj]]</f>
        <v>_RA_PC_SU01_001</v>
      </c>
      <c r="I4" t="s">
        <v>0</v>
      </c>
      <c r="J4">
        <f t="shared" si="0"/>
        <v>2</v>
      </c>
      <c r="L4" t="s">
        <v>1585</v>
      </c>
      <c r="M4" t="s">
        <v>3367</v>
      </c>
      <c r="N4" t="str">
        <f>SUBSTITUTE(HMIPATH_ContPID,"$",ContPID[[#This Row],[ID]])</f>
        <v>ObjContPID.InOut[2]</v>
      </c>
      <c r="O4" t="str" cm="1">
        <f t="array" ref="O4">FContPID(ContPID[[#This Row],[Obj]],ContPID[[#This Row],[SubSystem]],ContPID[[#This Row],[PV]])</f>
        <v xml:space="preserve">#RA_PC_SU01_001(cycle:=#cycle,
           reset:=#Unit.AHU.Command.General_reset,
           Process:=#Unit.RA_PC_SU01_001,
           InOut:=HVAC_SU01,
           Parameters:="HVAC_SU01"."RA_PC_SU01_001".Parameters,
           Settings:="HVAC_SU01"."RA_PC_SU01_001".Settings);
</v>
      </c>
      <c r="P4" t="str" cm="1">
        <f t="array" ref="P4">MUXContPID(ContPID[[#This Row],[Obj]],ContPID[[#This Row],[SubSystem]])</f>
        <v xml:space="preserve">#RA_PC_SU01_001(Object := "HVAC_SU01".RA_PC_SU01_001,
                InOut := "ObjContPID".InOut[#_RA_PC_SU01_001],
                Parameters:="ObjContPID".Parameters[#_RA_PC_SU01_001]);
</v>
      </c>
      <c r="Q4" t="str" cm="1">
        <f t="array" ref="Q4">PidAMS(ContPID[[#This Row],[Tag]])</f>
        <v xml:space="preserve">"AlarmWarningAMS"(Base:=#PID.InOut[_RA_PC_SU01_001].Base,
                  ConfigAMS:=#PID.AMS[_RA_PC_SU01_001],
                  ResultAMS:=#Unit.AMS);
</v>
      </c>
      <c r="R4" t="s">
        <v>1501</v>
      </c>
      <c r="S4" t="s">
        <v>1502</v>
      </c>
    </row>
    <row r="5" spans="1:19" x14ac:dyDescent="0.3">
      <c r="A5" t="s">
        <v>146</v>
      </c>
      <c r="B5" s="3" t="s">
        <v>1519</v>
      </c>
      <c r="C5" t="str">
        <f>RIGHT(ContPID[[#This Row],[RealTag]],LEN(ContPID[[#This Row],[RealTag]])-SEARCH("-",ContPID[[#This Row],[RealTag]],SEARCH("-",ContPID[[#This Row],[RealTag]])+1))</f>
        <v>SU01-001</v>
      </c>
      <c r="D5" s="3" t="s">
        <v>1442</v>
      </c>
      <c r="E5" t="str" cm="1">
        <f t="array" ref="E5">GetSystemFromTag(ContPID[[#This Row],[Obj]])</f>
        <v>HVAC_SU01</v>
      </c>
      <c r="F5" t="str" cm="1">
        <f t="array" ref="F5">GetSystemFromTag(ContPID[[#This Row],[Obj]])</f>
        <v>HVAC_SU01</v>
      </c>
      <c r="G5" t="str">
        <f>SUBSTITUTE(SUBSTITUTE(ContPID[[#This Row],[RealTag]],"-","_"),"-","_")</f>
        <v>MTR_TC_SU01_001</v>
      </c>
      <c r="H5" t="str">
        <f>"_" &amp;ContPID[[#This Row],[Obj]]</f>
        <v>_MTR_TC_SU01_001</v>
      </c>
      <c r="I5" t="s">
        <v>0</v>
      </c>
      <c r="J5">
        <f t="shared" si="0"/>
        <v>3</v>
      </c>
      <c r="L5" t="s">
        <v>1585</v>
      </c>
      <c r="M5" t="s">
        <v>3367</v>
      </c>
      <c r="N5" t="str">
        <f>SUBSTITUTE(HMIPATH_ContPID,"$",ContPID[[#This Row],[ID]])</f>
        <v>ObjContPID.InOut[3]</v>
      </c>
      <c r="O5" t="str" cm="1">
        <f t="array" ref="O5">FContPID(ContPID[[#This Row],[Obj]],ContPID[[#This Row],[SubSystem]],ContPID[[#This Row],[PV]])</f>
        <v xml:space="preserve">#MTR_TC_SU01_001(cycle:=#cycle,
           reset:=#Unit.AHU.Command.General_reset,
           Process:=#Unit.MTR_TC_SU01_001,
           InOut:=HVAC_SU01,
           Parameters:="HVAC_SU01"."MTR_TC_SU01_001".Parameters,
           Settings:="HVAC_SU01"."MTR_TC_SU01_001".Settings);
</v>
      </c>
      <c r="P5" t="str" cm="1">
        <f t="array" ref="P5">MUXContPID(ContPID[[#This Row],[Obj]],ContPID[[#This Row],[SubSystem]])</f>
        <v xml:space="preserve">#MTR_TC_SU01_001(Object := "HVAC_SU01".MTR_TC_SU01_001,
                InOut := "ObjContPID".InOut[#_MTR_TC_SU01_001],
                Parameters:="ObjContPID".Parameters[#_MTR_TC_SU01_001]);
</v>
      </c>
      <c r="Q5" t="str" cm="1">
        <f t="array" ref="Q5">PidAMS(ContPID[[#This Row],[Tag]])</f>
        <v xml:space="preserve">"AlarmWarningAMS"(Base:=#PID.InOut[_MTR_TC_SU01_001].Base,
                  ConfigAMS:=#PID.AMS[_MTR_TC_SU01_001],
                  ResultAMS:=#Unit.AMS);
</v>
      </c>
      <c r="R5" t="s">
        <v>1501</v>
      </c>
      <c r="S5" t="s">
        <v>1502</v>
      </c>
    </row>
    <row r="6" spans="1:19" x14ac:dyDescent="0.3">
      <c r="A6" t="s">
        <v>146</v>
      </c>
      <c r="B6" s="3" t="s">
        <v>1520</v>
      </c>
      <c r="C6" t="str">
        <f>RIGHT(ContPID[[#This Row],[RealTag]],LEN(ContPID[[#This Row],[RealTag]])-SEARCH("-",ContPID[[#This Row],[RealTag]],SEARCH("-",ContPID[[#This Row],[RealTag]])+1))</f>
        <v>SU01-001</v>
      </c>
      <c r="D6" s="3" t="s">
        <v>1442</v>
      </c>
      <c r="E6" t="str" cm="1">
        <f t="array" ref="E6">GetSystemFromTag(ContPID[[#This Row],[Obj]])</f>
        <v>HVAC_SU01</v>
      </c>
      <c r="F6" t="str" cm="1">
        <f t="array" ref="F6">GetSystemFromTag(ContPID[[#This Row],[Obj]])</f>
        <v>HVAC_SU01</v>
      </c>
      <c r="G6" t="str">
        <f>SUBSTITUTE(SUBSTITUTE(ContPID[[#This Row],[RealTag]],"-","_"),"-","_")</f>
        <v>HTG_TC_SU01_001</v>
      </c>
      <c r="H6" t="str">
        <f>"_" &amp;ContPID[[#This Row],[Obj]]</f>
        <v>_HTG_TC_SU01_001</v>
      </c>
      <c r="I6" t="s">
        <v>0</v>
      </c>
      <c r="J6">
        <f t="shared" si="0"/>
        <v>4</v>
      </c>
      <c r="L6" t="s">
        <v>1585</v>
      </c>
      <c r="M6" t="s">
        <v>3367</v>
      </c>
      <c r="N6" t="str">
        <f>SUBSTITUTE(HMIPATH_ContPID,"$",ContPID[[#This Row],[ID]])</f>
        <v>ObjContPID.InOut[4]</v>
      </c>
      <c r="O6" t="str" cm="1">
        <f t="array" ref="O6">FContPID(ContPID[[#This Row],[Obj]],ContPID[[#This Row],[SubSystem]],ContPID[[#This Row],[PV]])</f>
        <v xml:space="preserve">#HTG_TC_SU01_001(cycle:=#cycle,
           reset:=#Unit.AHU.Command.General_reset,
           Process:=#Unit.HTG_TC_SU01_001,
           InOut:=HVAC_SU01,
           Parameters:="HVAC_SU01"."HTG_TC_SU01_001".Parameters,
           Settings:="HVAC_SU01"."HTG_TC_SU01_001".Settings);
</v>
      </c>
      <c r="P6" t="str" cm="1">
        <f t="array" ref="P6">MUXContPID(ContPID[[#This Row],[Obj]],ContPID[[#This Row],[SubSystem]])</f>
        <v xml:space="preserve">#HTG_TC_SU01_001(Object := "HVAC_SU01".HTG_TC_SU01_001,
                InOut := "ObjContPID".InOut[#_HTG_TC_SU01_001],
                Parameters:="ObjContPID".Parameters[#_HTG_TC_SU01_001]);
</v>
      </c>
      <c r="Q6" t="str" cm="1">
        <f t="array" ref="Q6">PidAMS(ContPID[[#This Row],[Tag]])</f>
        <v xml:space="preserve">"AlarmWarningAMS"(Base:=#PID.InOut[_HTG_TC_SU01_001].Base,
                  ConfigAMS:=#PID.AMS[_HTG_TC_SU01_001],
                  ResultAMS:=#Unit.AMS);
</v>
      </c>
      <c r="R6" t="s">
        <v>1501</v>
      </c>
      <c r="S6" t="s">
        <v>1502</v>
      </c>
    </row>
    <row r="7" spans="1:19" x14ac:dyDescent="0.3">
      <c r="A7" t="s">
        <v>146</v>
      </c>
      <c r="B7" s="3" t="s">
        <v>1521</v>
      </c>
      <c r="C7" t="str">
        <f>RIGHT(ContPID[[#This Row],[RealTag]],LEN(ContPID[[#This Row],[RealTag]])-SEARCH("-",ContPID[[#This Row],[RealTag]],SEARCH("-",ContPID[[#This Row],[RealTag]])+1))</f>
        <v>SU01-001</v>
      </c>
      <c r="D7" s="3" t="s">
        <v>1442</v>
      </c>
      <c r="E7" t="str" cm="1">
        <f t="array" ref="E7">GetSystemFromTag(ContPID[[#This Row],[Obj]])</f>
        <v>HVAC_SU01</v>
      </c>
      <c r="F7" t="str" cm="1">
        <f t="array" ref="F7">GetSystemFromTag(ContPID[[#This Row],[Obj]])</f>
        <v>HVAC_SU01</v>
      </c>
      <c r="G7" t="str">
        <f>SUBSTITUTE(SUBSTITUTE(ContPID[[#This Row],[RealTag]],"-","_"),"-","_")</f>
        <v>CLG_TC_SU01_001</v>
      </c>
      <c r="H7" t="str">
        <f>"_" &amp;ContPID[[#This Row],[Obj]]</f>
        <v>_CLG_TC_SU01_001</v>
      </c>
      <c r="I7" t="s">
        <v>0</v>
      </c>
      <c r="J7">
        <f t="shared" si="0"/>
        <v>5</v>
      </c>
      <c r="L7" t="s">
        <v>1585</v>
      </c>
      <c r="M7" t="s">
        <v>3367</v>
      </c>
      <c r="N7" t="str">
        <f>SUBSTITUTE(HMIPATH_ContPID,"$",ContPID[[#This Row],[ID]])</f>
        <v>ObjContPID.InOut[5]</v>
      </c>
      <c r="O7" t="str" cm="1">
        <f t="array" ref="O7">FContPID(ContPID[[#This Row],[Obj]],ContPID[[#This Row],[SubSystem]],ContPID[[#This Row],[PV]])</f>
        <v xml:space="preserve">#CLG_TC_SU01_001(cycle:=#cycle,
           reset:=#Unit.AHU.Command.General_reset,
           Process:=#Unit.CLG_TC_SU01_001,
           InOut:=HVAC_SU01,
           Parameters:="HVAC_SU01"."CLG_TC_SU01_001".Parameters,
           Settings:="HVAC_SU01"."CLG_TC_SU01_001".Settings);
</v>
      </c>
      <c r="P7" t="str" cm="1">
        <f t="array" ref="P7">MUXContPID(ContPID[[#This Row],[Obj]],ContPID[[#This Row],[SubSystem]])</f>
        <v xml:space="preserve">#CLG_TC_SU01_001(Object := "HVAC_SU01".CLG_TC_SU01_001,
                InOut := "ObjContPID".InOut[#_CLG_TC_SU01_001],
                Parameters:="ObjContPID".Parameters[#_CLG_TC_SU01_001]);
</v>
      </c>
      <c r="Q7" t="str" cm="1">
        <f t="array" ref="Q7">PidAMS(ContPID[[#This Row],[Tag]])</f>
        <v xml:space="preserve">"AlarmWarningAMS"(Base:=#PID.InOut[_CLG_TC_SU01_001].Base,
                  ConfigAMS:=#PID.AMS[_CLG_TC_SU01_001],
                  ResultAMS:=#Unit.AMS);
</v>
      </c>
      <c r="R7" t="s">
        <v>1501</v>
      </c>
      <c r="S7" t="s">
        <v>1502</v>
      </c>
    </row>
    <row r="8" spans="1:19" x14ac:dyDescent="0.3">
      <c r="A8" t="s">
        <v>146</v>
      </c>
      <c r="B8" s="3" t="s">
        <v>1503</v>
      </c>
      <c r="C8" t="str">
        <f>RIGHT(ContPID[[#This Row],[RealTag]],LEN(ContPID[[#This Row],[RealTag]])-SEARCH("-",ContPID[[#This Row],[RealTag]],SEARCH("-",ContPID[[#This Row],[RealTag]])+1))</f>
        <v>00106-001</v>
      </c>
      <c r="D8" s="3" t="s">
        <v>1442</v>
      </c>
      <c r="E8" t="str" cm="1">
        <f t="array" ref="E8">GetSystemFromTag(ContPID[[#This Row],[Obj]])</f>
        <v>HVAC_R00106</v>
      </c>
      <c r="F8" t="str" cm="1">
        <f t="array" ref="F8">GetSystemFromTag(ContPID[[#This Row],[Obj]])</f>
        <v>HVAC_R00106</v>
      </c>
      <c r="G8" t="str">
        <f>SUBSTITUTE(SUBSTITUTE(ContPID[[#This Row],[RealTag]],"-","_"),"-","_")</f>
        <v>RMTR_TC_00106_001</v>
      </c>
      <c r="H8" t="str">
        <f>"_" &amp;ContPID[[#This Row],[Obj]]</f>
        <v>_RMTR_TC_00106_001</v>
      </c>
      <c r="I8" t="s">
        <v>0</v>
      </c>
      <c r="J8">
        <f t="shared" ref="J8:J10" si="1">ROW()-2</f>
        <v>6</v>
      </c>
      <c r="L8" t="s">
        <v>1585</v>
      </c>
      <c r="M8" t="s">
        <v>3367</v>
      </c>
      <c r="N8" t="str">
        <f>SUBSTITUTE(HMIPATH_ContPID,"$",ContPID[[#This Row],[ID]])</f>
        <v>ObjContPID.InOut[6]</v>
      </c>
      <c r="O8" t="str" cm="1">
        <f t="array" ref="O8">FContPID(ContPID[[#This Row],[Obj]],ContPID[[#This Row],[SubSystem]],ContPID[[#This Row],[PV]])</f>
        <v xml:space="preserve">#RMTR_TC_00106_001(cycle:=#cycle,
           reset:=#Unit.AHU.Command.General_reset,
           Process:=#Unit.RMTR_TC_00106_001,
           InOut:=HVAC_R00106,
           Parameters:="HVAC_R00106"."RMTR_TC_00106_001".Parameters,
           Settings:="HVAC_R00106"."RMTR_TC_00106_001".Settings);
</v>
      </c>
      <c r="P8" t="str" cm="1">
        <f t="array" ref="P8">MUXContPID(ContPID[[#This Row],[Obj]],ContPID[[#This Row],[SubSystem]])</f>
        <v xml:space="preserve">#RMTR_TC_00106_001(Object := "HVAC_R00106".RMTR_TC_00106_001,
                InOut := "ObjContPID".InOut[#_RMTR_TC_00106_001],
                Parameters:="ObjContPID".Parameters[#_RMTR_TC_00106_001]);
</v>
      </c>
      <c r="Q8" t="str" cm="1">
        <f t="array" ref="Q8">PidAMS(ContPID[[#This Row],[Tag]])</f>
        <v xml:space="preserve">"AlarmWarningAMS"(Base:=#PID.InOut[_RMTR_TC_00106_001].Base,
                  ConfigAMS:=#PID.AMS[_RMTR_TC_00106_001],
                  ResultAMS:=#Unit.AMS);
</v>
      </c>
      <c r="R8" t="s">
        <v>1501</v>
      </c>
      <c r="S8" t="s">
        <v>1502</v>
      </c>
    </row>
    <row r="9" spans="1:19" x14ac:dyDescent="0.3">
      <c r="A9" t="s">
        <v>146</v>
      </c>
      <c r="B9" s="3" t="s">
        <v>1504</v>
      </c>
      <c r="C9" t="str">
        <f>RIGHT(ContPID[[#This Row],[RealTag]],LEN(ContPID[[#This Row],[RealTag]])-SEARCH("-",ContPID[[#This Row],[RealTag]],SEARCH("-",ContPID[[#This Row],[RealTag]])+1))</f>
        <v>00106-001</v>
      </c>
      <c r="D9" s="3" t="s">
        <v>1442</v>
      </c>
      <c r="E9" t="str" cm="1">
        <f t="array" ref="E9">GetSystemFromTag(ContPID[[#This Row],[Obj]])</f>
        <v>HVAC_R00106</v>
      </c>
      <c r="F9" t="str" cm="1">
        <f t="array" ref="F9">GetSystemFromTag(ContPID[[#This Row],[Obj]])</f>
        <v>HVAC_R00106</v>
      </c>
      <c r="G9" t="str">
        <f>SUBSTITUTE(SUBSTITUTE(ContPID[[#This Row],[RealTag]],"-","_"),"-","_")</f>
        <v>RCLG_TC_00106_001</v>
      </c>
      <c r="H9" t="str">
        <f>"_" &amp;ContPID[[#This Row],[Obj]]</f>
        <v>_RCLG_TC_00106_001</v>
      </c>
      <c r="I9" t="s">
        <v>0</v>
      </c>
      <c r="J9">
        <f t="shared" si="1"/>
        <v>7</v>
      </c>
      <c r="L9" t="s">
        <v>1585</v>
      </c>
      <c r="M9" t="s">
        <v>3367</v>
      </c>
      <c r="N9" t="str">
        <f>SUBSTITUTE(HMIPATH_ContPID,"$",ContPID[[#This Row],[ID]])</f>
        <v>ObjContPID.InOut[7]</v>
      </c>
      <c r="O9" t="str" cm="1">
        <f t="array" ref="O9">FContPID(ContPID[[#This Row],[Obj]],ContPID[[#This Row],[SubSystem]],ContPID[[#This Row],[PV]])</f>
        <v xml:space="preserve">#RCLG_TC_00106_001(cycle:=#cycle,
           reset:=#Unit.AHU.Command.General_reset,
           Process:=#Unit.RCLG_TC_00106_001,
           InOut:=HVAC_R00106,
           Parameters:="HVAC_R00106"."RCLG_TC_00106_001".Parameters,
           Settings:="HVAC_R00106"."RCLG_TC_00106_001".Settings);
</v>
      </c>
      <c r="P9" t="str" cm="1">
        <f t="array" ref="P9">MUXContPID(ContPID[[#This Row],[Obj]],ContPID[[#This Row],[SubSystem]])</f>
        <v xml:space="preserve">#RCLG_TC_00106_001(Object := "HVAC_R00106".RCLG_TC_00106_001,
                InOut := "ObjContPID".InOut[#_RCLG_TC_00106_001],
                Parameters:="ObjContPID".Parameters[#_RCLG_TC_00106_001]);
</v>
      </c>
      <c r="Q9" t="str" cm="1">
        <f t="array" ref="Q9">PidAMS(ContPID[[#This Row],[Tag]])</f>
        <v xml:space="preserve">"AlarmWarningAMS"(Base:=#PID.InOut[_RCLG_TC_00106_001].Base,
                  ConfigAMS:=#PID.AMS[_RCLG_TC_00106_001],
                  ResultAMS:=#Unit.AMS);
</v>
      </c>
      <c r="R9" t="s">
        <v>1501</v>
      </c>
      <c r="S9" t="s">
        <v>1502</v>
      </c>
    </row>
    <row r="10" spans="1:19" x14ac:dyDescent="0.3">
      <c r="A10" t="s">
        <v>146</v>
      </c>
      <c r="C10" t="e">
        <f>RIGHT(ContPID[[#This Row],[RealTag]],LEN(ContPID[[#This Row],[RealTag]])-SEARCH("-",ContPID[[#This Row],[RealTag]],SEARCH("-",ContPID[[#This Row],[RealTag]])+1))</f>
        <v>#VALUE!</v>
      </c>
      <c r="D10" s="3" t="s">
        <v>1442</v>
      </c>
      <c r="E10" t="str" cm="1">
        <f t="array" ref="E10">GetSystemFromTag(ContPID[[#This Row],[Obj]])</f>
        <v>N/A</v>
      </c>
      <c r="F10" t="str" cm="1">
        <f t="array" ref="F10">GetSystemFromTag(ContPID[[#This Row],[Obj]])</f>
        <v>N/A</v>
      </c>
      <c r="G10" t="str">
        <f>SUBSTITUTE(SUBSTITUTE(ContPID[[#This Row],[RealTag]],"-","_"),"-","_")</f>
        <v/>
      </c>
      <c r="H10" t="str">
        <f>"_" &amp;ContPID[[#This Row],[Obj]]</f>
        <v>_</v>
      </c>
      <c r="I10" t="s">
        <v>0</v>
      </c>
      <c r="J10">
        <f t="shared" si="1"/>
        <v>8</v>
      </c>
      <c r="L10" t="s">
        <v>1585</v>
      </c>
      <c r="M10" t="s">
        <v>3367</v>
      </c>
      <c r="N10" t="str">
        <f>SUBSTITUTE(HMIPATH_ContPID,"$",ContPID[[#This Row],[ID]])</f>
        <v>ObjContPID.InOut[8]</v>
      </c>
      <c r="O10" t="str" cm="1">
        <f t="array" ref="O10">FContPID(ContPID[[#This Row],[Obj]],ContPID[[#This Row],[SubSystem]],ContPID[[#This Row],[PV]])</f>
        <v/>
      </c>
      <c r="P10" t="str" cm="1">
        <f t="array" ref="P10">MUXContPID(ContPID[[#This Row],[Obj]],ContPID[[#This Row],[SubSystem]])</f>
        <v/>
      </c>
      <c r="Q10" t="str" cm="1">
        <f t="array" ref="Q10">PidAMS(ContPID[[#This Row],[Tag]])</f>
        <v xml:space="preserve">"AlarmWarningAMS"(Base:=#PID.InOut[_].Base,
                  ConfigAMS:=#PID.AMS[_],
                  ResultAMS:=#Unit.AMS);
</v>
      </c>
      <c r="R10" t="s">
        <v>1501</v>
      </c>
      <c r="S10" t="s">
        <v>1502</v>
      </c>
    </row>
    <row r="11" spans="1:19" x14ac:dyDescent="0.3">
      <c r="A11" t="s">
        <v>146</v>
      </c>
      <c r="B11" s="3" t="s">
        <v>1505</v>
      </c>
      <c r="C11" t="str">
        <f>RIGHT(ContPID[[#This Row],[RealTag]],LEN(ContPID[[#This Row],[RealTag]])-SEARCH("-",ContPID[[#This Row],[RealTag]],SEARCH("-",ContPID[[#This Row],[RealTag]])+1))</f>
        <v>00107-001</v>
      </c>
      <c r="D11" s="3" t="s">
        <v>1442</v>
      </c>
      <c r="E11" t="str" cm="1">
        <f t="array" ref="E11">GetSystemFromTag(ContPID[[#This Row],[Obj]])</f>
        <v>HVAC_R00107</v>
      </c>
      <c r="F11" t="str" cm="1">
        <f t="array" ref="F11">GetSystemFromTag(ContPID[[#This Row],[Obj]])</f>
        <v>HVAC_R00107</v>
      </c>
      <c r="G11" t="str">
        <f>SUBSTITUTE(SUBSTITUTE(ContPID[[#This Row],[RealTag]],"-","_"),"-","_")</f>
        <v>RMTR_TC_00107_001</v>
      </c>
      <c r="H11" t="str">
        <f>"_" &amp;ContPID[[#This Row],[Obj]]</f>
        <v>_RMTR_TC_00107_001</v>
      </c>
      <c r="I11" t="s">
        <v>0</v>
      </c>
      <c r="J11">
        <f t="shared" ref="J11:J21" si="2">ROW()-2</f>
        <v>9</v>
      </c>
      <c r="L11" t="s">
        <v>1585</v>
      </c>
      <c r="M11" t="s">
        <v>3367</v>
      </c>
      <c r="N11" t="str">
        <f>SUBSTITUTE(HMIPATH_ContPID,"$",ContPID[[#This Row],[ID]])</f>
        <v>ObjContPID.InOut[9]</v>
      </c>
      <c r="O11" t="str" cm="1">
        <f t="array" ref="O11">FContPID(ContPID[[#This Row],[Obj]],ContPID[[#This Row],[SubSystem]],ContPID[[#This Row],[PV]])</f>
        <v xml:space="preserve">#RMTR_TC_00107_001(cycle:=#cycle,
           reset:=#Unit.AHU.Command.General_reset,
           Process:=#Unit.RMTR_TC_00107_001,
           InOut:=HVAC_R00107,
           Parameters:="HVAC_R00107"."RMTR_TC_00107_001".Parameters,
           Settings:="HVAC_R00107"."RMTR_TC_00107_001".Settings);
</v>
      </c>
      <c r="P11" t="str" cm="1">
        <f t="array" ref="P11">MUXContPID(ContPID[[#This Row],[Obj]],ContPID[[#This Row],[SubSystem]])</f>
        <v xml:space="preserve">#RMTR_TC_00107_001(Object := "HVAC_R00107".RMTR_TC_00107_001,
                InOut := "ObjContPID".InOut[#_RMTR_TC_00107_001],
                Parameters:="ObjContPID".Parameters[#_RMTR_TC_00107_001]);
</v>
      </c>
      <c r="Q11" t="str" cm="1">
        <f t="array" ref="Q11">PidAMS(ContPID[[#This Row],[Tag]])</f>
        <v xml:space="preserve">"AlarmWarningAMS"(Base:=#PID.InOut[_RMTR_TC_00107_001].Base,
                  ConfigAMS:=#PID.AMS[_RMTR_TC_00107_001],
                  ResultAMS:=#Unit.AMS);
</v>
      </c>
      <c r="R11" t="s">
        <v>1501</v>
      </c>
      <c r="S11" t="s">
        <v>1502</v>
      </c>
    </row>
    <row r="12" spans="1:19" x14ac:dyDescent="0.3">
      <c r="A12" t="s">
        <v>146</v>
      </c>
      <c r="B12" s="3" t="s">
        <v>1506</v>
      </c>
      <c r="C12" t="str">
        <f>RIGHT(ContPID[[#This Row],[RealTag]],LEN(ContPID[[#This Row],[RealTag]])-SEARCH("-",ContPID[[#This Row],[RealTag]],SEARCH("-",ContPID[[#This Row],[RealTag]])+1))</f>
        <v>00107-001</v>
      </c>
      <c r="D12" s="3" t="s">
        <v>1442</v>
      </c>
      <c r="E12" t="str" cm="1">
        <f t="array" ref="E12">GetSystemFromTag(ContPID[[#This Row],[Obj]])</f>
        <v>HVAC_R00107</v>
      </c>
      <c r="F12" t="str" cm="1">
        <f t="array" ref="F12">GetSystemFromTag(ContPID[[#This Row],[Obj]])</f>
        <v>HVAC_R00107</v>
      </c>
      <c r="G12" t="str">
        <f>SUBSTITUTE(SUBSTITUTE(ContPID[[#This Row],[RealTag]],"-","_"),"-","_")</f>
        <v>RCLG_TC_00107_001</v>
      </c>
      <c r="H12" t="str">
        <f>"_" &amp;ContPID[[#This Row],[Obj]]</f>
        <v>_RCLG_TC_00107_001</v>
      </c>
      <c r="I12" t="s">
        <v>0</v>
      </c>
      <c r="J12">
        <f t="shared" si="2"/>
        <v>10</v>
      </c>
      <c r="L12" t="s">
        <v>1585</v>
      </c>
      <c r="M12" t="s">
        <v>3367</v>
      </c>
      <c r="N12" t="str">
        <f>SUBSTITUTE(HMIPATH_ContPID,"$",ContPID[[#This Row],[ID]])</f>
        <v>ObjContPID.InOut[10]</v>
      </c>
      <c r="O12" t="str" cm="1">
        <f t="array" ref="O12">FContPID(ContPID[[#This Row],[Obj]],ContPID[[#This Row],[SubSystem]],ContPID[[#This Row],[PV]])</f>
        <v xml:space="preserve">#RCLG_TC_00107_001(cycle:=#cycle,
           reset:=#Unit.AHU.Command.General_reset,
           Process:=#Unit.RCLG_TC_00107_001,
           InOut:=HVAC_R00107,
           Parameters:="HVAC_R00107"."RCLG_TC_00107_001".Parameters,
           Settings:="HVAC_R00107"."RCLG_TC_00107_001".Settings);
</v>
      </c>
      <c r="P12" t="str" cm="1">
        <f t="array" ref="P12">MUXContPID(ContPID[[#This Row],[Obj]],ContPID[[#This Row],[SubSystem]])</f>
        <v xml:space="preserve">#RCLG_TC_00107_001(Object := "HVAC_R00107".RCLG_TC_00107_001,
                InOut := "ObjContPID".InOut[#_RCLG_TC_00107_001],
                Parameters:="ObjContPID".Parameters[#_RCLG_TC_00107_001]);
</v>
      </c>
      <c r="Q12" t="str" cm="1">
        <f t="array" ref="Q12">PidAMS(ContPID[[#This Row],[Tag]])</f>
        <v xml:space="preserve">"AlarmWarningAMS"(Base:=#PID.InOut[_RCLG_TC_00107_001].Base,
                  ConfigAMS:=#PID.AMS[_RCLG_TC_00107_001],
                  ResultAMS:=#Unit.AMS);
</v>
      </c>
      <c r="R12" t="s">
        <v>1501</v>
      </c>
      <c r="S12" t="s">
        <v>1502</v>
      </c>
    </row>
    <row r="13" spans="1:19" x14ac:dyDescent="0.3">
      <c r="A13" t="s">
        <v>146</v>
      </c>
      <c r="B13" s="3" t="s">
        <v>1507</v>
      </c>
      <c r="C13" t="str">
        <f>RIGHT(ContPID[[#This Row],[RealTag]],LEN(ContPID[[#This Row],[RealTag]])-SEARCH("-",ContPID[[#This Row],[RealTag]],SEARCH("-",ContPID[[#This Row],[RealTag]])+1))</f>
        <v>00108-001</v>
      </c>
      <c r="D13" s="3" t="s">
        <v>1442</v>
      </c>
      <c r="E13" t="str" cm="1">
        <f t="array" ref="E13">GetSystemFromTag(ContPID[[#This Row],[Obj]])</f>
        <v>HVAC_R00108</v>
      </c>
      <c r="F13" t="str" cm="1">
        <f t="array" ref="F13">GetSystemFromTag(ContPID[[#This Row],[Obj]])</f>
        <v>HVAC_R00108</v>
      </c>
      <c r="G13" t="str">
        <f>SUBSTITUTE(SUBSTITUTE(ContPID[[#This Row],[RealTag]],"-","_"),"-","_")</f>
        <v>RMTR_TC_00108_001</v>
      </c>
      <c r="H13" t="str">
        <f>"_" &amp;ContPID[[#This Row],[Obj]]</f>
        <v>_RMTR_TC_00108_001</v>
      </c>
      <c r="I13" t="s">
        <v>0</v>
      </c>
      <c r="J13">
        <f t="shared" si="2"/>
        <v>11</v>
      </c>
      <c r="L13" t="s">
        <v>1585</v>
      </c>
      <c r="M13" t="s">
        <v>3367</v>
      </c>
      <c r="N13" t="str">
        <f>SUBSTITUTE(HMIPATH_ContPID,"$",ContPID[[#This Row],[ID]])</f>
        <v>ObjContPID.InOut[11]</v>
      </c>
      <c r="O13" t="str" cm="1">
        <f t="array" ref="O13">FContPID(ContPID[[#This Row],[Obj]],ContPID[[#This Row],[SubSystem]],ContPID[[#This Row],[PV]])</f>
        <v xml:space="preserve">#RMTR_TC_00108_001(cycle:=#cycle,
           reset:=#Unit.AHU.Command.General_reset,
           Process:=#Unit.RMTR_TC_00108_001,
           InOut:=HVAC_R00108,
           Parameters:="HVAC_R00108"."RMTR_TC_00108_001".Parameters,
           Settings:="HVAC_R00108"."RMTR_TC_00108_001".Settings);
</v>
      </c>
      <c r="P13" t="str" cm="1">
        <f t="array" ref="P13">MUXContPID(ContPID[[#This Row],[Obj]],ContPID[[#This Row],[SubSystem]])</f>
        <v xml:space="preserve">#RMTR_TC_00108_001(Object := "HVAC_R00108".RMTR_TC_00108_001,
                InOut := "ObjContPID".InOut[#_RMTR_TC_00108_001],
                Parameters:="ObjContPID".Parameters[#_RMTR_TC_00108_001]);
</v>
      </c>
      <c r="Q13" t="str" cm="1">
        <f t="array" ref="Q13">PidAMS(ContPID[[#This Row],[Tag]])</f>
        <v xml:space="preserve">"AlarmWarningAMS"(Base:=#PID.InOut[_RMTR_TC_00108_001].Base,
                  ConfigAMS:=#PID.AMS[_RMTR_TC_00108_001],
                  ResultAMS:=#Unit.AMS);
</v>
      </c>
      <c r="R13" t="s">
        <v>1501</v>
      </c>
      <c r="S13" t="s">
        <v>1502</v>
      </c>
    </row>
    <row r="14" spans="1:19" x14ac:dyDescent="0.3">
      <c r="A14" t="s">
        <v>146</v>
      </c>
      <c r="B14" s="3" t="s">
        <v>1508</v>
      </c>
      <c r="C14" t="str">
        <f>RIGHT(ContPID[[#This Row],[RealTag]],LEN(ContPID[[#This Row],[RealTag]])-SEARCH("-",ContPID[[#This Row],[RealTag]],SEARCH("-",ContPID[[#This Row],[RealTag]])+1))</f>
        <v>00108-001</v>
      </c>
      <c r="D14" s="3" t="s">
        <v>1442</v>
      </c>
      <c r="E14" t="str" cm="1">
        <f t="array" ref="E14">GetSystemFromTag(ContPID[[#This Row],[Obj]])</f>
        <v>HVAC_R00108</v>
      </c>
      <c r="F14" t="str" cm="1">
        <f t="array" ref="F14">GetSystemFromTag(ContPID[[#This Row],[Obj]])</f>
        <v>HVAC_R00108</v>
      </c>
      <c r="G14" t="str">
        <f>SUBSTITUTE(SUBSTITUTE(ContPID[[#This Row],[RealTag]],"-","_"),"-","_")</f>
        <v>RCLG_TC_00108_001</v>
      </c>
      <c r="H14" t="str">
        <f>"_" &amp;ContPID[[#This Row],[Obj]]</f>
        <v>_RCLG_TC_00108_001</v>
      </c>
      <c r="I14" t="s">
        <v>0</v>
      </c>
      <c r="J14">
        <f t="shared" si="2"/>
        <v>12</v>
      </c>
      <c r="L14" t="s">
        <v>1585</v>
      </c>
      <c r="M14" t="s">
        <v>3367</v>
      </c>
      <c r="N14" t="str">
        <f>SUBSTITUTE(HMIPATH_ContPID,"$",ContPID[[#This Row],[ID]])</f>
        <v>ObjContPID.InOut[12]</v>
      </c>
      <c r="O14" t="str" cm="1">
        <f t="array" ref="O14">FContPID(ContPID[[#This Row],[Obj]],ContPID[[#This Row],[SubSystem]],ContPID[[#This Row],[PV]])</f>
        <v xml:space="preserve">#RCLG_TC_00108_001(cycle:=#cycle,
           reset:=#Unit.AHU.Command.General_reset,
           Process:=#Unit.RCLG_TC_00108_001,
           InOut:=HVAC_R00108,
           Parameters:="HVAC_R00108"."RCLG_TC_00108_001".Parameters,
           Settings:="HVAC_R00108"."RCLG_TC_00108_001".Settings);
</v>
      </c>
      <c r="P14" t="str" cm="1">
        <f t="array" ref="P14">MUXContPID(ContPID[[#This Row],[Obj]],ContPID[[#This Row],[SubSystem]])</f>
        <v xml:space="preserve">#RCLG_TC_00108_001(Object := "HVAC_R00108".RCLG_TC_00108_001,
                InOut := "ObjContPID".InOut[#_RCLG_TC_00108_001],
                Parameters:="ObjContPID".Parameters[#_RCLG_TC_00108_001]);
</v>
      </c>
      <c r="Q14" t="str" cm="1">
        <f t="array" ref="Q14">PidAMS(ContPID[[#This Row],[Tag]])</f>
        <v xml:space="preserve">"AlarmWarningAMS"(Base:=#PID.InOut[_RCLG_TC_00108_001].Base,
                  ConfigAMS:=#PID.AMS[_RCLG_TC_00108_001],
                  ResultAMS:=#Unit.AMS);
</v>
      </c>
      <c r="R14" t="s">
        <v>1501</v>
      </c>
      <c r="S14" t="s">
        <v>1502</v>
      </c>
    </row>
    <row r="15" spans="1:19" x14ac:dyDescent="0.3">
      <c r="A15" t="s">
        <v>146</v>
      </c>
      <c r="B15" s="3" t="s">
        <v>1509</v>
      </c>
      <c r="C15" t="str">
        <f>RIGHT(ContPID[[#This Row],[RealTag]],LEN(ContPID[[#This Row],[RealTag]])-SEARCH("-",ContPID[[#This Row],[RealTag]],SEARCH("-",ContPID[[#This Row],[RealTag]])+1))</f>
        <v>00109-001</v>
      </c>
      <c r="D15" s="3" t="s">
        <v>1442</v>
      </c>
      <c r="E15" t="str" cm="1">
        <f t="array" ref="E15">GetSystemFromTag(ContPID[[#This Row],[Obj]])</f>
        <v>HVAC_R00109</v>
      </c>
      <c r="F15" t="str" cm="1">
        <f t="array" ref="F15">GetSystemFromTag(ContPID[[#This Row],[Obj]])</f>
        <v>HVAC_R00109</v>
      </c>
      <c r="G15" t="str">
        <f>SUBSTITUTE(SUBSTITUTE(ContPID[[#This Row],[RealTag]],"-","_"),"-","_")</f>
        <v>RMTR_TC_00109_001</v>
      </c>
      <c r="H15" t="str">
        <f>"_" &amp;ContPID[[#This Row],[Obj]]</f>
        <v>_RMTR_TC_00109_001</v>
      </c>
      <c r="I15" t="s">
        <v>0</v>
      </c>
      <c r="J15">
        <f t="shared" si="2"/>
        <v>13</v>
      </c>
      <c r="L15" t="s">
        <v>1585</v>
      </c>
      <c r="M15" t="s">
        <v>3367</v>
      </c>
      <c r="N15" t="str">
        <f>SUBSTITUTE(HMIPATH_ContPID,"$",ContPID[[#This Row],[ID]])</f>
        <v>ObjContPID.InOut[13]</v>
      </c>
      <c r="O15" t="str" cm="1">
        <f t="array" ref="O15">FContPID(ContPID[[#This Row],[Obj]],ContPID[[#This Row],[SubSystem]],ContPID[[#This Row],[PV]])</f>
        <v xml:space="preserve">#RMTR_TC_00109_001(cycle:=#cycle,
           reset:=#Unit.AHU.Command.General_reset,
           Process:=#Unit.RMTR_TC_00109_001,
           InOut:=HVAC_R00109,
           Parameters:="HVAC_R00109"."RMTR_TC_00109_001".Parameters,
           Settings:="HVAC_R00109"."RMTR_TC_00109_001".Settings);
</v>
      </c>
      <c r="P15" t="str" cm="1">
        <f t="array" ref="P15">MUXContPID(ContPID[[#This Row],[Obj]],ContPID[[#This Row],[SubSystem]])</f>
        <v xml:space="preserve">#RMTR_TC_00109_001(Object := "HVAC_R00109".RMTR_TC_00109_001,
                InOut := "ObjContPID".InOut[#_RMTR_TC_00109_001],
                Parameters:="ObjContPID".Parameters[#_RMTR_TC_00109_001]);
</v>
      </c>
      <c r="Q15" t="str" cm="1">
        <f t="array" ref="Q15">PidAMS(ContPID[[#This Row],[Tag]])</f>
        <v xml:space="preserve">"AlarmWarningAMS"(Base:=#PID.InOut[_RMTR_TC_00109_001].Base,
                  ConfigAMS:=#PID.AMS[_RMTR_TC_00109_001],
                  ResultAMS:=#Unit.AMS);
</v>
      </c>
      <c r="R15" t="s">
        <v>1501</v>
      </c>
      <c r="S15" t="s">
        <v>1502</v>
      </c>
    </row>
    <row r="16" spans="1:19" x14ac:dyDescent="0.3">
      <c r="A16" t="s">
        <v>146</v>
      </c>
      <c r="B16" s="3" t="s">
        <v>1510</v>
      </c>
      <c r="C16" t="str">
        <f>RIGHT(ContPID[[#This Row],[RealTag]],LEN(ContPID[[#This Row],[RealTag]])-SEARCH("-",ContPID[[#This Row],[RealTag]],SEARCH("-",ContPID[[#This Row],[RealTag]])+1))</f>
        <v>00109-001</v>
      </c>
      <c r="D16" s="3" t="s">
        <v>1442</v>
      </c>
      <c r="E16" t="str" cm="1">
        <f t="array" ref="E16">GetSystemFromTag(ContPID[[#This Row],[Obj]])</f>
        <v>HVAC_R00109</v>
      </c>
      <c r="F16" t="str" cm="1">
        <f t="array" ref="F16">GetSystemFromTag(ContPID[[#This Row],[Obj]])</f>
        <v>HVAC_R00109</v>
      </c>
      <c r="G16" t="str">
        <f>SUBSTITUTE(SUBSTITUTE(ContPID[[#This Row],[RealTag]],"-","_"),"-","_")</f>
        <v>RCLG_TC_00109_001</v>
      </c>
      <c r="H16" t="str">
        <f>"_" &amp;ContPID[[#This Row],[Obj]]</f>
        <v>_RCLG_TC_00109_001</v>
      </c>
      <c r="I16" t="s">
        <v>0</v>
      </c>
      <c r="J16">
        <f t="shared" si="2"/>
        <v>14</v>
      </c>
      <c r="L16" t="s">
        <v>1585</v>
      </c>
      <c r="M16" t="s">
        <v>3367</v>
      </c>
      <c r="N16" t="str">
        <f>SUBSTITUTE(HMIPATH_ContPID,"$",ContPID[[#This Row],[ID]])</f>
        <v>ObjContPID.InOut[14]</v>
      </c>
      <c r="O16" t="str" cm="1">
        <f t="array" ref="O16">FContPID(ContPID[[#This Row],[Obj]],ContPID[[#This Row],[SubSystem]],ContPID[[#This Row],[PV]])</f>
        <v xml:space="preserve">#RCLG_TC_00109_001(cycle:=#cycle,
           reset:=#Unit.AHU.Command.General_reset,
           Process:=#Unit.RCLG_TC_00109_001,
           InOut:=HVAC_R00109,
           Parameters:="HVAC_R00109"."RCLG_TC_00109_001".Parameters,
           Settings:="HVAC_R00109"."RCLG_TC_00109_001".Settings);
</v>
      </c>
      <c r="P16" t="str" cm="1">
        <f t="array" ref="P16">MUXContPID(ContPID[[#This Row],[Obj]],ContPID[[#This Row],[SubSystem]])</f>
        <v xml:space="preserve">#RCLG_TC_00109_001(Object := "HVAC_R00109".RCLG_TC_00109_001,
                InOut := "ObjContPID".InOut[#_RCLG_TC_00109_001],
                Parameters:="ObjContPID".Parameters[#_RCLG_TC_00109_001]);
</v>
      </c>
      <c r="Q16" t="str" cm="1">
        <f t="array" ref="Q16">PidAMS(ContPID[[#This Row],[Tag]])</f>
        <v xml:space="preserve">"AlarmWarningAMS"(Base:=#PID.InOut[_RCLG_TC_00109_001].Base,
                  ConfigAMS:=#PID.AMS[_RCLG_TC_00109_001],
                  ResultAMS:=#Unit.AMS);
</v>
      </c>
      <c r="R16" t="s">
        <v>1501</v>
      </c>
      <c r="S16" t="s">
        <v>1502</v>
      </c>
    </row>
    <row r="17" spans="1:19" x14ac:dyDescent="0.3">
      <c r="A17" t="s">
        <v>146</v>
      </c>
      <c r="B17" s="3" t="s">
        <v>1511</v>
      </c>
      <c r="C17" t="str">
        <f>RIGHT(ContPID[[#This Row],[RealTag]],LEN(ContPID[[#This Row],[RealTag]])-SEARCH("-",ContPID[[#This Row],[RealTag]],SEARCH("-",ContPID[[#This Row],[RealTag]])+1))</f>
        <v>00110-001</v>
      </c>
      <c r="D17" s="3" t="s">
        <v>1442</v>
      </c>
      <c r="E17" t="str" cm="1">
        <f t="array" ref="E17">GetSystemFromTag(ContPID[[#This Row],[Obj]])</f>
        <v>HVAC_R00110</v>
      </c>
      <c r="F17" t="str" cm="1">
        <f t="array" ref="F17">GetSystemFromTag(ContPID[[#This Row],[Obj]])</f>
        <v>HVAC_R00110</v>
      </c>
      <c r="G17" t="str">
        <f>SUBSTITUTE(SUBSTITUTE(ContPID[[#This Row],[RealTag]],"-","_"),"-","_")</f>
        <v>RMTR_TC_00110_001</v>
      </c>
      <c r="H17" t="str">
        <f>"_" &amp;ContPID[[#This Row],[Obj]]</f>
        <v>_RMTR_TC_00110_001</v>
      </c>
      <c r="I17" t="s">
        <v>0</v>
      </c>
      <c r="J17">
        <f t="shared" si="2"/>
        <v>15</v>
      </c>
      <c r="L17" t="s">
        <v>1585</v>
      </c>
      <c r="M17" t="s">
        <v>3367</v>
      </c>
      <c r="N17" t="str">
        <f>SUBSTITUTE(HMIPATH_ContPID,"$",ContPID[[#This Row],[ID]])</f>
        <v>ObjContPID.InOut[15]</v>
      </c>
      <c r="O17" t="str" cm="1">
        <f t="array" ref="O17">FContPID(ContPID[[#This Row],[Obj]],ContPID[[#This Row],[SubSystem]],ContPID[[#This Row],[PV]])</f>
        <v xml:space="preserve">#RMTR_TC_00110_001(cycle:=#cycle,
           reset:=#Unit.AHU.Command.General_reset,
           Process:=#Unit.RMTR_TC_00110_001,
           InOut:=HVAC_R00110,
           Parameters:="HVAC_R00110"."RMTR_TC_00110_001".Parameters,
           Settings:="HVAC_R00110"."RMTR_TC_00110_001".Settings);
</v>
      </c>
      <c r="P17" t="str" cm="1">
        <f t="array" ref="P17">MUXContPID(ContPID[[#This Row],[Obj]],ContPID[[#This Row],[SubSystem]])</f>
        <v xml:space="preserve">#RMTR_TC_00110_001(Object := "HVAC_R00110".RMTR_TC_00110_001,
                InOut := "ObjContPID".InOut[#_RMTR_TC_00110_001],
                Parameters:="ObjContPID".Parameters[#_RMTR_TC_00110_001]);
</v>
      </c>
      <c r="Q17" t="str" cm="1">
        <f t="array" ref="Q17">PidAMS(ContPID[[#This Row],[Tag]])</f>
        <v xml:space="preserve">"AlarmWarningAMS"(Base:=#PID.InOut[_RMTR_TC_00110_001].Base,
                  ConfigAMS:=#PID.AMS[_RMTR_TC_00110_001],
                  ResultAMS:=#Unit.AMS);
</v>
      </c>
      <c r="R17" t="s">
        <v>1501</v>
      </c>
      <c r="S17" t="s">
        <v>1502</v>
      </c>
    </row>
    <row r="18" spans="1:19" x14ac:dyDescent="0.3">
      <c r="A18" t="s">
        <v>146</v>
      </c>
      <c r="B18" s="3" t="s">
        <v>1512</v>
      </c>
      <c r="C18" t="str">
        <f>RIGHT(ContPID[[#This Row],[RealTag]],LEN(ContPID[[#This Row],[RealTag]])-SEARCH("-",ContPID[[#This Row],[RealTag]],SEARCH("-",ContPID[[#This Row],[RealTag]])+1))</f>
        <v>00110-001</v>
      </c>
      <c r="D18" s="3" t="s">
        <v>1442</v>
      </c>
      <c r="E18" t="str" cm="1">
        <f t="array" ref="E18">GetSystemFromTag(ContPID[[#This Row],[Obj]])</f>
        <v>HVAC_R00110</v>
      </c>
      <c r="F18" t="str" cm="1">
        <f t="array" ref="F18">GetSystemFromTag(ContPID[[#This Row],[Obj]])</f>
        <v>HVAC_R00110</v>
      </c>
      <c r="G18" t="str">
        <f>SUBSTITUTE(SUBSTITUTE(ContPID[[#This Row],[RealTag]],"-","_"),"-","_")</f>
        <v>RCLG_TC_00110_001</v>
      </c>
      <c r="H18" t="str">
        <f>"_" &amp;ContPID[[#This Row],[Obj]]</f>
        <v>_RCLG_TC_00110_001</v>
      </c>
      <c r="I18" t="s">
        <v>0</v>
      </c>
      <c r="J18">
        <f t="shared" si="2"/>
        <v>16</v>
      </c>
      <c r="L18" t="s">
        <v>1585</v>
      </c>
      <c r="M18" t="s">
        <v>3367</v>
      </c>
      <c r="N18" t="str">
        <f>SUBSTITUTE(HMIPATH_ContPID,"$",ContPID[[#This Row],[ID]])</f>
        <v>ObjContPID.InOut[16]</v>
      </c>
      <c r="O18" t="str" cm="1">
        <f t="array" ref="O18">FContPID(ContPID[[#This Row],[Obj]],ContPID[[#This Row],[SubSystem]],ContPID[[#This Row],[PV]])</f>
        <v xml:space="preserve">#RCLG_TC_00110_001(cycle:=#cycle,
           reset:=#Unit.AHU.Command.General_reset,
           Process:=#Unit.RCLG_TC_00110_001,
           InOut:=HVAC_R00110,
           Parameters:="HVAC_R00110"."RCLG_TC_00110_001".Parameters,
           Settings:="HVAC_R00110"."RCLG_TC_00110_001".Settings);
</v>
      </c>
      <c r="P18" t="str" cm="1">
        <f t="array" ref="P18">MUXContPID(ContPID[[#This Row],[Obj]],ContPID[[#This Row],[SubSystem]])</f>
        <v xml:space="preserve">#RCLG_TC_00110_001(Object := "HVAC_R00110".RCLG_TC_00110_001,
                InOut := "ObjContPID".InOut[#_RCLG_TC_00110_001],
                Parameters:="ObjContPID".Parameters[#_RCLG_TC_00110_001]);
</v>
      </c>
      <c r="Q18" t="str" cm="1">
        <f t="array" ref="Q18">PidAMS(ContPID[[#This Row],[Tag]])</f>
        <v xml:space="preserve">"AlarmWarningAMS"(Base:=#PID.InOut[_RCLG_TC_00110_001].Base,
                  ConfigAMS:=#PID.AMS[_RCLG_TC_00110_001],
                  ResultAMS:=#Unit.AMS);
</v>
      </c>
      <c r="R18" t="s">
        <v>1501</v>
      </c>
      <c r="S18" t="s">
        <v>1502</v>
      </c>
    </row>
    <row r="19" spans="1:19" x14ac:dyDescent="0.3">
      <c r="A19" t="s">
        <v>146</v>
      </c>
      <c r="B19" s="3" t="s">
        <v>1513</v>
      </c>
      <c r="C19" t="str">
        <f>RIGHT(ContPID[[#This Row],[RealTag]],LEN(ContPID[[#This Row],[RealTag]])-SEARCH("-",ContPID[[#This Row],[RealTag]],SEARCH("-",ContPID[[#This Row],[RealTag]])+1))</f>
        <v>00111-001</v>
      </c>
      <c r="D19" s="3" t="s">
        <v>1442</v>
      </c>
      <c r="E19" t="str" cm="1">
        <f t="array" ref="E19">GetSystemFromTag(ContPID[[#This Row],[Obj]])</f>
        <v>HVAC_R00111</v>
      </c>
      <c r="F19" t="str" cm="1">
        <f t="array" ref="F19">GetSystemFromTag(ContPID[[#This Row],[Obj]])</f>
        <v>HVAC_R00111</v>
      </c>
      <c r="G19" t="str">
        <f>SUBSTITUTE(SUBSTITUTE(ContPID[[#This Row],[RealTag]],"-","_"),"-","_")</f>
        <v>RMTR_TC_00111_001</v>
      </c>
      <c r="H19" t="str">
        <f>"_" &amp;ContPID[[#This Row],[Obj]]</f>
        <v>_RMTR_TC_00111_001</v>
      </c>
      <c r="I19" t="s">
        <v>0</v>
      </c>
      <c r="J19">
        <f t="shared" si="2"/>
        <v>17</v>
      </c>
      <c r="L19" t="s">
        <v>1585</v>
      </c>
      <c r="M19" t="s">
        <v>3367</v>
      </c>
      <c r="N19" t="str">
        <f>SUBSTITUTE(HMIPATH_ContPID,"$",ContPID[[#This Row],[ID]])</f>
        <v>ObjContPID.InOut[17]</v>
      </c>
      <c r="O19" t="str" cm="1">
        <f t="array" ref="O19">FContPID(ContPID[[#This Row],[Obj]],ContPID[[#This Row],[SubSystem]],ContPID[[#This Row],[PV]])</f>
        <v xml:space="preserve">#RMTR_TC_00111_001(cycle:=#cycle,
           reset:=#Unit.AHU.Command.General_reset,
           Process:=#Unit.RMTR_TC_00111_001,
           InOut:=HVAC_R00111,
           Parameters:="HVAC_R00111"."RMTR_TC_00111_001".Parameters,
           Settings:="HVAC_R00111"."RMTR_TC_00111_001".Settings);
</v>
      </c>
      <c r="P19" t="str" cm="1">
        <f t="array" ref="P19">MUXContPID(ContPID[[#This Row],[Obj]],ContPID[[#This Row],[SubSystem]])</f>
        <v xml:space="preserve">#RMTR_TC_00111_001(Object := "HVAC_R00111".RMTR_TC_00111_001,
                InOut := "ObjContPID".InOut[#_RMTR_TC_00111_001],
                Parameters:="ObjContPID".Parameters[#_RMTR_TC_00111_001]);
</v>
      </c>
      <c r="Q19" t="str" cm="1">
        <f t="array" ref="Q19">PidAMS(ContPID[[#This Row],[Tag]])</f>
        <v xml:space="preserve">"AlarmWarningAMS"(Base:=#PID.InOut[_RMTR_TC_00111_001].Base,
                  ConfigAMS:=#PID.AMS[_RMTR_TC_00111_001],
                  ResultAMS:=#Unit.AMS);
</v>
      </c>
      <c r="R19" t="s">
        <v>1501</v>
      </c>
      <c r="S19" t="s">
        <v>1502</v>
      </c>
    </row>
    <row r="20" spans="1:19" x14ac:dyDescent="0.3">
      <c r="A20" t="s">
        <v>146</v>
      </c>
      <c r="B20" s="3" t="s">
        <v>1514</v>
      </c>
      <c r="C20" t="str">
        <f>RIGHT(ContPID[[#This Row],[RealTag]],LEN(ContPID[[#This Row],[RealTag]])-SEARCH("-",ContPID[[#This Row],[RealTag]],SEARCH("-",ContPID[[#This Row],[RealTag]])+1))</f>
        <v>00111-001</v>
      </c>
      <c r="D20" s="3" t="s">
        <v>1442</v>
      </c>
      <c r="E20" t="str" cm="1">
        <f t="array" ref="E20">GetSystemFromTag(ContPID[[#This Row],[Obj]])</f>
        <v>HVAC_R00111</v>
      </c>
      <c r="F20" t="str" cm="1">
        <f t="array" ref="F20">GetSystemFromTag(ContPID[[#This Row],[Obj]])</f>
        <v>HVAC_R00111</v>
      </c>
      <c r="G20" t="str">
        <f>SUBSTITUTE(SUBSTITUTE(ContPID[[#This Row],[RealTag]],"-","_"),"-","_")</f>
        <v>RCLG_TC_00111_001</v>
      </c>
      <c r="H20" t="str">
        <f>"_" &amp;ContPID[[#This Row],[Obj]]</f>
        <v>_RCLG_TC_00111_001</v>
      </c>
      <c r="I20" t="s">
        <v>0</v>
      </c>
      <c r="J20">
        <f t="shared" si="2"/>
        <v>18</v>
      </c>
      <c r="L20" t="s">
        <v>1585</v>
      </c>
      <c r="M20" t="s">
        <v>3367</v>
      </c>
      <c r="N20" t="str">
        <f>SUBSTITUTE(HMIPATH_ContPID,"$",ContPID[[#This Row],[ID]])</f>
        <v>ObjContPID.InOut[18]</v>
      </c>
      <c r="O20" t="str" cm="1">
        <f t="array" ref="O20">FContPID(ContPID[[#This Row],[Obj]],ContPID[[#This Row],[SubSystem]],ContPID[[#This Row],[PV]])</f>
        <v xml:space="preserve">#RCLG_TC_00111_001(cycle:=#cycle,
           reset:=#Unit.AHU.Command.General_reset,
           Process:=#Unit.RCLG_TC_00111_001,
           InOut:=HVAC_R00111,
           Parameters:="HVAC_R00111"."RCLG_TC_00111_001".Parameters,
           Settings:="HVAC_R00111"."RCLG_TC_00111_001".Settings);
</v>
      </c>
      <c r="P20" t="str" cm="1">
        <f t="array" ref="P20">MUXContPID(ContPID[[#This Row],[Obj]],ContPID[[#This Row],[SubSystem]])</f>
        <v xml:space="preserve">#RCLG_TC_00111_001(Object := "HVAC_R00111".RCLG_TC_00111_001,
                InOut := "ObjContPID".InOut[#_RCLG_TC_00111_001],
                Parameters:="ObjContPID".Parameters[#_RCLG_TC_00111_001]);
</v>
      </c>
      <c r="Q20" t="str" cm="1">
        <f t="array" ref="Q20">PidAMS(ContPID[[#This Row],[Tag]])</f>
        <v xml:space="preserve">"AlarmWarningAMS"(Base:=#PID.InOut[_RCLG_TC_00111_001].Base,
                  ConfigAMS:=#PID.AMS[_RCLG_TC_00111_001],
                  ResultAMS:=#Unit.AMS);
</v>
      </c>
      <c r="R20" t="s">
        <v>1501</v>
      </c>
      <c r="S20" t="s">
        <v>1502</v>
      </c>
    </row>
    <row r="21" spans="1:19" x14ac:dyDescent="0.3">
      <c r="A21" t="s">
        <v>146</v>
      </c>
      <c r="B21" s="3" t="s">
        <v>1515</v>
      </c>
      <c r="C21" t="str">
        <f>RIGHT(ContPID[[#This Row],[RealTag]],LEN(ContPID[[#This Row],[RealTag]])-SEARCH("-",ContPID[[#This Row],[RealTag]],SEARCH("-",ContPID[[#This Row],[RealTag]])+1))</f>
        <v>001</v>
      </c>
      <c r="D21" s="3" t="s">
        <v>1442</v>
      </c>
      <c r="E21" t="str" cm="1">
        <f t="array" ref="E21">GetSystemFromTag(ContPID[[#This Row],[Obj]])</f>
        <v>HVAC_R00111</v>
      </c>
      <c r="F21" t="str" cm="1">
        <f t="array" ref="F21">GetSystemFromTag(ContPID[[#This Row],[Obj]])</f>
        <v>HVAC_R00111</v>
      </c>
      <c r="G21" t="str">
        <f>SUBSTITUTE(SUBSTITUTE(ContPID[[#This Row],[RealTag]],"-","_"),"-","_")</f>
        <v>PC_00111_001</v>
      </c>
      <c r="H21" t="str">
        <f>"_" &amp;ContPID[[#This Row],[Obj]]</f>
        <v>_PC_00111_001</v>
      </c>
      <c r="I21" t="s">
        <v>0</v>
      </c>
      <c r="J21">
        <f t="shared" si="2"/>
        <v>19</v>
      </c>
      <c r="L21" t="s">
        <v>1585</v>
      </c>
      <c r="M21" t="s">
        <v>3367</v>
      </c>
      <c r="N21" t="str">
        <f>SUBSTITUTE(HMIPATH_ContPID,"$",ContPID[[#This Row],[ID]])</f>
        <v>ObjContPID.InOut[19]</v>
      </c>
      <c r="O21" t="str" cm="1">
        <f t="array" ref="O21">FContPID(ContPID[[#This Row],[Obj]],ContPID[[#This Row],[SubSystem]],ContPID[[#This Row],[PV]])</f>
        <v xml:space="preserve">#PC_00111_001(cycle:=#cycle,
           reset:=#Unit.AHU.Command.General_reset,
           Process:=#Unit.PC_00111_001,
           InOut:=HVAC_R00111,
           Parameters:="HVAC_R00111"."PC_00111_001".Parameters,
           Settings:="HVAC_R00111"."PC_00111_001".Settings);
</v>
      </c>
      <c r="P21" t="str" cm="1">
        <f t="array" ref="P21">MUXContPID(ContPID[[#This Row],[Obj]],ContPID[[#This Row],[SubSystem]])</f>
        <v xml:space="preserve">#PC_00111_001(Object := "HVAC_R00111".PC_00111_001,
                InOut := "ObjContPID".InOut[#_PC_00111_001],
                Parameters:="ObjContPID".Parameters[#_PC_00111_001]);
</v>
      </c>
      <c r="Q21" t="str" cm="1">
        <f t="array" ref="Q21">PidAMS(ContPID[[#This Row],[Tag]])</f>
        <v xml:space="preserve">"AlarmWarningAMS"(Base:=#PID.InOut[_PC_00111_001].Base,
                  ConfigAMS:=#PID.AMS[_PC_00111_001],
                  ResultAMS:=#Unit.AMS);
</v>
      </c>
      <c r="R21" t="s">
        <v>1501</v>
      </c>
      <c r="S21" t="s">
        <v>1502</v>
      </c>
    </row>
    <row r="22" spans="1:19" x14ac:dyDescent="0.3">
      <c r="A22" t="s">
        <v>146</v>
      </c>
      <c r="B22" s="3" t="s">
        <v>1516</v>
      </c>
      <c r="C22" t="str">
        <f>RIGHT(ContPID[[#This Row],[RealTag]],LEN(ContPID[[#This Row],[RealTag]])-SEARCH("-",ContPID[[#This Row],[RealTag]],SEARCH("-",ContPID[[#This Row],[RealTag]])+1))</f>
        <v>001</v>
      </c>
      <c r="D22" s="3" t="s">
        <v>1442</v>
      </c>
      <c r="E22" t="str" cm="1">
        <f t="array" ref="E22">GetSystemFromTag(ContPID[[#This Row],[Obj]])</f>
        <v>HVAC_R00116</v>
      </c>
      <c r="F22" t="str" cm="1">
        <f t="array" ref="F22">GetSystemFromTag(ContPID[[#This Row],[Obj]])</f>
        <v>HVAC_R00116</v>
      </c>
      <c r="G22" t="str">
        <f>SUBSTITUTE(SUBSTITUTE(ContPID[[#This Row],[RealTag]],"-","_"),"-","_")</f>
        <v>PC_00116_001</v>
      </c>
      <c r="H22" t="str">
        <f>"_" &amp;ContPID[[#This Row],[Obj]]</f>
        <v>_PC_00116_001</v>
      </c>
      <c r="I22" t="s">
        <v>0</v>
      </c>
      <c r="J22">
        <f>ROW()-2</f>
        <v>20</v>
      </c>
      <c r="L22" t="s">
        <v>1585</v>
      </c>
      <c r="M22" t="s">
        <v>3367</v>
      </c>
      <c r="N22" t="str">
        <f>SUBSTITUTE(HMIPATH_ContPID,"$",ContPID[[#This Row],[ID]])</f>
        <v>ObjContPID.InOut[20]</v>
      </c>
      <c r="O22" t="str" cm="1">
        <f t="array" ref="O22">FContPID(ContPID[[#This Row],[Obj]],ContPID[[#This Row],[SubSystem]],ContPID[[#This Row],[PV]])</f>
        <v xml:space="preserve">#PC_00116_001(cycle:=#cycle,
           reset:=#Unit.AHU.Command.General_reset,
           Process:=#Unit.PC_00116_001,
           InOut:=HVAC_R00116,
           Parameters:="HVAC_R00116"."PC_00116_001".Parameters,
           Settings:="HVAC_R00116"."PC_00116_001".Settings);
</v>
      </c>
      <c r="P22" t="str" cm="1">
        <f t="array" ref="P22">MUXContPID(ContPID[[#This Row],[Obj]],ContPID[[#This Row],[SubSystem]])</f>
        <v xml:space="preserve">#PC_00116_001(Object := "HVAC_R00116".PC_00116_001,
                InOut := "ObjContPID".InOut[#_PC_00116_001],
                Parameters:="ObjContPID".Parameters[#_PC_00116_001]);
</v>
      </c>
      <c r="Q22" t="str" cm="1">
        <f t="array" ref="Q22">PidAMS(ContPID[[#This Row],[Tag]])</f>
        <v xml:space="preserve">"AlarmWarningAMS"(Base:=#PID.InOut[_PC_00116_001].Base,
                  ConfigAMS:=#PID.AMS[_PC_00116_001],
                  ResultAMS:=#Unit.AMS);
</v>
      </c>
      <c r="R22" t="s">
        <v>1501</v>
      </c>
      <c r="S22" t="s">
        <v>1502</v>
      </c>
    </row>
    <row r="23" spans="1:19" x14ac:dyDescent="0.3">
      <c r="A23" t="s">
        <v>146</v>
      </c>
      <c r="B23" s="3" t="s">
        <v>1549</v>
      </c>
      <c r="C23" t="str">
        <f>RIGHT(ContPID[[#This Row],[RealTag]],LEN(ContPID[[#This Row],[RealTag]])-SEARCH("-",ContPID[[#This Row],[RealTag]],SEARCH("-",ContPID[[#This Row],[RealTag]])+1))</f>
        <v>00103-001</v>
      </c>
      <c r="D23" s="3" t="s">
        <v>1442</v>
      </c>
      <c r="E23" t="str" cm="1">
        <f t="array" ref="E23">GetSystemFromTag(ContPID[[#This Row],[Obj]])</f>
        <v>HVAC_R00103</v>
      </c>
      <c r="F23" t="str" cm="1">
        <f t="array" ref="F23">GetSystemFromTag(ContPID[[#This Row],[Obj]])</f>
        <v>HVAC_R00103</v>
      </c>
      <c r="G23" t="str">
        <f>SUBSTITUTE(SUBSTITUTE(ContPID[[#This Row],[RealTag]],"-","_"),"-","_")</f>
        <v>RCLG_TC_00103_001</v>
      </c>
      <c r="H23" t="str">
        <f>"_" &amp;ContPID[[#This Row],[Obj]]</f>
        <v>_RCLG_TC_00103_001</v>
      </c>
      <c r="I23" t="s">
        <v>0</v>
      </c>
      <c r="J23">
        <f t="shared" ref="J23:J26" si="3">ROW()-2</f>
        <v>21</v>
      </c>
      <c r="L23" t="s">
        <v>1585</v>
      </c>
      <c r="M23" t="s">
        <v>3367</v>
      </c>
      <c r="N23" t="str">
        <f>SUBSTITUTE(HMIPATH_ContPID,"$",ContPID[[#This Row],[ID]])</f>
        <v>ObjContPID.InOut[21]</v>
      </c>
      <c r="O23" t="str" cm="1">
        <f t="array" ref="O23">FContPID(ContPID[[#This Row],[Obj]],ContPID[[#This Row],[SubSystem]],ContPID[[#This Row],[PV]])</f>
        <v xml:space="preserve">#RCLG_TC_00103_001(cycle:=#cycle,
           reset:=#Unit.AHU.Command.General_reset,
           Process:=#Unit.RCLG_TC_00103_001,
           InOut:=HVAC_R00103,
           Parameters:="HVAC_R00103"."RCLG_TC_00103_001".Parameters,
           Settings:="HVAC_R00103"."RCLG_TC_00103_001".Settings);
</v>
      </c>
      <c r="P23" t="str" cm="1">
        <f t="array" ref="P23">MUXContPID(ContPID[[#This Row],[Obj]],ContPID[[#This Row],[SubSystem]])</f>
        <v xml:space="preserve">#RCLG_TC_00103_001(Object := "HVAC_R00103".RCLG_TC_00103_001,
                InOut := "ObjContPID".InOut[#_RCLG_TC_00103_001],
                Parameters:="ObjContPID".Parameters[#_RCLG_TC_00103_001]);
</v>
      </c>
      <c r="Q23" t="str" cm="1">
        <f t="array" ref="Q23">PidAMS(ContPID[[#This Row],[Tag]])</f>
        <v xml:space="preserve">"AlarmWarningAMS"(Base:=#PID.InOut[_RCLG_TC_00103_001].Base,
                  ConfigAMS:=#PID.AMS[_RCLG_TC_00103_001],
                  ResultAMS:=#Unit.AMS);
</v>
      </c>
      <c r="R23" t="s">
        <v>1501</v>
      </c>
      <c r="S23" t="s">
        <v>1502</v>
      </c>
    </row>
    <row r="24" spans="1:19" x14ac:dyDescent="0.3">
      <c r="A24" t="s">
        <v>146</v>
      </c>
      <c r="B24" s="3" t="s">
        <v>1550</v>
      </c>
      <c r="C24" t="str">
        <f>RIGHT(ContPID[[#This Row],[RealTag]],LEN(ContPID[[#This Row],[RealTag]])-SEARCH("-",ContPID[[#This Row],[RealTag]],SEARCH("-",ContPID[[#This Row],[RealTag]])+1))</f>
        <v>001</v>
      </c>
      <c r="D24" s="3" t="s">
        <v>1442</v>
      </c>
      <c r="E24" t="str" cm="1">
        <f t="array" ref="E24">GetSystemFromTag(ContPID[[#This Row],[Obj]])</f>
        <v>HVAC_R00103</v>
      </c>
      <c r="F24" t="str" cm="1">
        <f t="array" ref="F24">GetSystemFromTag(ContPID[[#This Row],[Obj]])</f>
        <v>HVAC_R00103</v>
      </c>
      <c r="G24" t="str">
        <f>SUBSTITUTE(SUBSTITUTE(ContPID[[#This Row],[RealTag]],"-","_"),"-","_")</f>
        <v>PC_00103_001</v>
      </c>
      <c r="H24" t="str">
        <f>"_" &amp;ContPID[[#This Row],[Obj]]</f>
        <v>_PC_00103_001</v>
      </c>
      <c r="I24" t="s">
        <v>0</v>
      </c>
      <c r="J24">
        <f t="shared" si="3"/>
        <v>22</v>
      </c>
      <c r="L24" t="s">
        <v>1585</v>
      </c>
      <c r="M24" t="s">
        <v>3367</v>
      </c>
      <c r="N24" t="str">
        <f>SUBSTITUTE(HMIPATH_ContPID,"$",ContPID[[#This Row],[ID]])</f>
        <v>ObjContPID.InOut[22]</v>
      </c>
      <c r="O24" t="str" cm="1">
        <f t="array" ref="O24">FContPID(ContPID[[#This Row],[Obj]],ContPID[[#This Row],[SubSystem]],ContPID[[#This Row],[PV]])</f>
        <v xml:space="preserve">#PC_00103_001(cycle:=#cycle,
           reset:=#Unit.AHU.Command.General_reset,
           Process:=#Unit.PC_00103_001,
           InOut:=HVAC_R00103,
           Parameters:="HVAC_R00103"."PC_00103_001".Parameters,
           Settings:="HVAC_R00103"."PC_00103_001".Settings);
</v>
      </c>
      <c r="P24" t="str" cm="1">
        <f t="array" ref="P24">MUXContPID(ContPID[[#This Row],[Obj]],ContPID[[#This Row],[SubSystem]])</f>
        <v xml:space="preserve">#PC_00103_001(Object := "HVAC_R00103".PC_00103_001,
                InOut := "ObjContPID".InOut[#_PC_00103_001],
                Parameters:="ObjContPID".Parameters[#_PC_00103_001]);
</v>
      </c>
      <c r="Q24" t="str" cm="1">
        <f t="array" ref="Q24">PidAMS(ContPID[[#This Row],[Tag]])</f>
        <v xml:space="preserve">"AlarmWarningAMS"(Base:=#PID.InOut[_PC_00103_001].Base,
                  ConfigAMS:=#PID.AMS[_PC_00103_001],
                  ResultAMS:=#Unit.AMS);
</v>
      </c>
      <c r="R24" t="s">
        <v>1501</v>
      </c>
      <c r="S24" t="s">
        <v>1502</v>
      </c>
    </row>
    <row r="25" spans="1:19" x14ac:dyDescent="0.3">
      <c r="A25" t="s">
        <v>146</v>
      </c>
      <c r="B25" s="3" t="s">
        <v>1548</v>
      </c>
      <c r="C25" t="str">
        <f>RIGHT(ContPID[[#This Row],[RealTag]],LEN(ContPID[[#This Row],[RealTag]])-SEARCH("-",ContPID[[#This Row],[RealTag]],SEARCH("-",ContPID[[#This Row],[RealTag]])+1))</f>
        <v>001</v>
      </c>
      <c r="D25" s="3" t="s">
        <v>1442</v>
      </c>
      <c r="E25" t="str" cm="1">
        <f t="array" ref="E25">GetSystemFromTag(ContPID[[#This Row],[Obj]])</f>
        <v>HVAC_R00103</v>
      </c>
      <c r="F25" t="str" cm="1">
        <f t="array" ref="F25">GetSystemFromTag(ContPID[[#This Row],[Obj]])</f>
        <v>HVAC_R00103</v>
      </c>
      <c r="G25" t="str">
        <f>SUBSTITUTE(SUBSTITUTE(ContPID[[#This Row],[RealTag]],"-","_"),"-","_")</f>
        <v>FC_00103_001</v>
      </c>
      <c r="H25" t="str">
        <f>"_" &amp;ContPID[[#This Row],[Obj]]</f>
        <v>_FC_00103_001</v>
      </c>
      <c r="I25" t="s">
        <v>0</v>
      </c>
      <c r="J25">
        <f t="shared" si="3"/>
        <v>23</v>
      </c>
      <c r="L25" t="s">
        <v>1585</v>
      </c>
      <c r="M25" t="s">
        <v>3367</v>
      </c>
      <c r="N25" t="str">
        <f>SUBSTITUTE(HMIPATH_ContPID,"$",ContPID[[#This Row],[ID]])</f>
        <v>ObjContPID.InOut[23]</v>
      </c>
      <c r="O25" t="str" cm="1">
        <f t="array" ref="O25">FContPID(ContPID[[#This Row],[Obj]],ContPID[[#This Row],[SubSystem]],ContPID[[#This Row],[PV]])</f>
        <v xml:space="preserve">#FC_00103_001(cycle:=#cycle,
           reset:=#Unit.AHU.Command.General_reset,
           Process:=#Unit.FC_00103_001,
           InOut:=HVAC_R00103,
           Parameters:="HVAC_R00103"."FC_00103_001".Parameters,
           Settings:="HVAC_R00103"."FC_00103_001".Settings);
</v>
      </c>
      <c r="P25" t="str" cm="1">
        <f t="array" ref="P25">MUXContPID(ContPID[[#This Row],[Obj]],ContPID[[#This Row],[SubSystem]])</f>
        <v xml:space="preserve">#FC_00103_001(Object := "HVAC_R00103".FC_00103_001,
                InOut := "ObjContPID".InOut[#_FC_00103_001],
                Parameters:="ObjContPID".Parameters[#_FC_00103_001]);
</v>
      </c>
      <c r="Q25" t="str" cm="1">
        <f t="array" ref="Q25">PidAMS(ContPID[[#This Row],[Tag]])</f>
        <v xml:space="preserve">"AlarmWarningAMS"(Base:=#PID.InOut[_FC_00103_001].Base,
                  ConfigAMS:=#PID.AMS[_FC_00103_001],
                  ResultAMS:=#Unit.AMS);
</v>
      </c>
      <c r="R25" t="s">
        <v>1501</v>
      </c>
      <c r="S25" t="s">
        <v>1502</v>
      </c>
    </row>
    <row r="26" spans="1:19" x14ac:dyDescent="0.3">
      <c r="A26" t="s">
        <v>146</v>
      </c>
      <c r="B26" s="3" t="s">
        <v>1551</v>
      </c>
      <c r="C26" t="str">
        <f>RIGHT(ContPID[[#This Row],[RealTag]],LEN(ContPID[[#This Row],[RealTag]])-SEARCH("-",ContPID[[#This Row],[RealTag]],SEARCH("-",ContPID[[#This Row],[RealTag]])+1))</f>
        <v>00104-001</v>
      </c>
      <c r="D26" s="3" t="s">
        <v>1442</v>
      </c>
      <c r="E26" t="str" cm="1">
        <f t="array" ref="E26">GetSystemFromTag(ContPID[[#This Row],[Obj]])</f>
        <v>HVAC_R00104</v>
      </c>
      <c r="F26" t="str" cm="1">
        <f t="array" ref="F26">GetSystemFromTag(ContPID[[#This Row],[Obj]])</f>
        <v>HVAC_R00104</v>
      </c>
      <c r="G26" t="str">
        <f>SUBSTITUTE(SUBSTITUTE(ContPID[[#This Row],[RealTag]],"-","_"),"-","_")</f>
        <v>RCLG_TC_00104_001</v>
      </c>
      <c r="H26" t="str">
        <f>"_" &amp;ContPID[[#This Row],[Obj]]</f>
        <v>_RCLG_TC_00104_001</v>
      </c>
      <c r="I26" t="s">
        <v>0</v>
      </c>
      <c r="J26">
        <f t="shared" si="3"/>
        <v>24</v>
      </c>
      <c r="L26" t="s">
        <v>1585</v>
      </c>
      <c r="M26" t="s">
        <v>3367</v>
      </c>
      <c r="N26" t="str">
        <f>SUBSTITUTE(HMIPATH_ContPID,"$",ContPID[[#This Row],[ID]])</f>
        <v>ObjContPID.InOut[24]</v>
      </c>
      <c r="O26" t="str" cm="1">
        <f t="array" ref="O26">FContPID(ContPID[[#This Row],[Obj]],ContPID[[#This Row],[SubSystem]],ContPID[[#This Row],[PV]])</f>
        <v xml:space="preserve">#RCLG_TC_00104_001(cycle:=#cycle,
           reset:=#Unit.AHU.Command.General_reset,
           Process:=#Unit.RCLG_TC_00104_001,
           InOut:=HVAC_R00104,
           Parameters:="HVAC_R00104"."RCLG_TC_00104_001".Parameters,
           Settings:="HVAC_R00104"."RCLG_TC_00104_001".Settings);
</v>
      </c>
      <c r="P26" t="str" cm="1">
        <f t="array" ref="P26">MUXContPID(ContPID[[#This Row],[Obj]],ContPID[[#This Row],[SubSystem]])</f>
        <v xml:space="preserve">#RCLG_TC_00104_001(Object := "HVAC_R00104".RCLG_TC_00104_001,
                InOut := "ObjContPID".InOut[#_RCLG_TC_00104_001],
                Parameters:="ObjContPID".Parameters[#_RCLG_TC_00104_001]);
</v>
      </c>
      <c r="Q26" t="str" cm="1">
        <f t="array" ref="Q26">PidAMS(ContPID[[#This Row],[Tag]])</f>
        <v xml:space="preserve">"AlarmWarningAMS"(Base:=#PID.InOut[_RCLG_TC_00104_001].Base,
                  ConfigAMS:=#PID.AMS[_RCLG_TC_00104_001],
                  ResultAMS:=#Unit.AMS);
</v>
      </c>
      <c r="R26" t="s">
        <v>1501</v>
      </c>
      <c r="S26" t="s">
        <v>1502</v>
      </c>
    </row>
    <row r="27" spans="1:19" x14ac:dyDescent="0.3">
      <c r="A27" t="s">
        <v>146</v>
      </c>
      <c r="B27" s="3" t="s">
        <v>1552</v>
      </c>
      <c r="C27" t="str">
        <f>RIGHT(ContPID[[#This Row],[RealTag]],LEN(ContPID[[#This Row],[RealTag]])-SEARCH("-",ContPID[[#This Row],[RealTag]],SEARCH("-",ContPID[[#This Row],[RealTag]])+1))</f>
        <v>001</v>
      </c>
      <c r="D27" s="3" t="s">
        <v>1442</v>
      </c>
      <c r="E27" t="str" cm="1">
        <f t="array" ref="E27">GetSystemFromTag(ContPID[[#This Row],[Obj]])</f>
        <v>HVAC_R00104</v>
      </c>
      <c r="F27" t="str" cm="1">
        <f t="array" ref="F27">GetSystemFromTag(ContPID[[#This Row],[Obj]])</f>
        <v>HVAC_R00104</v>
      </c>
      <c r="G27" t="str">
        <f>SUBSTITUTE(SUBSTITUTE(ContPID[[#This Row],[RealTag]],"-","_"),"-","_")</f>
        <v>PC_00104_001</v>
      </c>
      <c r="H27" t="str">
        <f>"_" &amp;ContPID[[#This Row],[Obj]]</f>
        <v>_PC_00104_001</v>
      </c>
      <c r="I27" t="s">
        <v>0</v>
      </c>
      <c r="J27">
        <f t="shared" ref="J27:J30" si="4">ROW()-2</f>
        <v>25</v>
      </c>
      <c r="L27" t="s">
        <v>1585</v>
      </c>
      <c r="M27" t="s">
        <v>3367</v>
      </c>
      <c r="N27" t="str">
        <f>SUBSTITUTE(HMIPATH_ContPID,"$",ContPID[[#This Row],[ID]])</f>
        <v>ObjContPID.InOut[25]</v>
      </c>
      <c r="O27" t="str" cm="1">
        <f t="array" ref="O27">FContPID(ContPID[[#This Row],[Obj]],ContPID[[#This Row],[SubSystem]],ContPID[[#This Row],[PV]])</f>
        <v xml:space="preserve">#PC_00104_001(cycle:=#cycle,
           reset:=#Unit.AHU.Command.General_reset,
           Process:=#Unit.PC_00104_001,
           InOut:=HVAC_R00104,
           Parameters:="HVAC_R00104"."PC_00104_001".Parameters,
           Settings:="HVAC_R00104"."PC_00104_001".Settings);
</v>
      </c>
      <c r="P27" t="str" cm="1">
        <f t="array" ref="P27">MUXContPID(ContPID[[#This Row],[Obj]],ContPID[[#This Row],[SubSystem]])</f>
        <v xml:space="preserve">#PC_00104_001(Object := "HVAC_R00104".PC_00104_001,
                InOut := "ObjContPID".InOut[#_PC_00104_001],
                Parameters:="ObjContPID".Parameters[#_PC_00104_001]);
</v>
      </c>
      <c r="Q27" t="str" cm="1">
        <f t="array" ref="Q27">PidAMS(ContPID[[#This Row],[Tag]])</f>
        <v xml:space="preserve">"AlarmWarningAMS"(Base:=#PID.InOut[_PC_00104_001].Base,
                  ConfigAMS:=#PID.AMS[_PC_00104_001],
                  ResultAMS:=#Unit.AMS);
</v>
      </c>
      <c r="R27" t="s">
        <v>1501</v>
      </c>
      <c r="S27" t="s">
        <v>1502</v>
      </c>
    </row>
    <row r="28" spans="1:19" x14ac:dyDescent="0.3">
      <c r="A28" t="s">
        <v>146</v>
      </c>
      <c r="B28" s="3" t="s">
        <v>1553</v>
      </c>
      <c r="C28" t="str">
        <f>RIGHT(ContPID[[#This Row],[RealTag]],LEN(ContPID[[#This Row],[RealTag]])-SEARCH("-",ContPID[[#This Row],[RealTag]],SEARCH("-",ContPID[[#This Row],[RealTag]])+1))</f>
        <v>001</v>
      </c>
      <c r="D28" s="3" t="s">
        <v>1442</v>
      </c>
      <c r="E28" t="str" cm="1">
        <f t="array" ref="E28">GetSystemFromTag(ContPID[[#This Row],[Obj]])</f>
        <v>HVAC_R00104</v>
      </c>
      <c r="F28" t="str" cm="1">
        <f t="array" ref="F28">GetSystemFromTag(ContPID[[#This Row],[Obj]])</f>
        <v>HVAC_R00104</v>
      </c>
      <c r="G28" t="str">
        <f>SUBSTITUTE(SUBSTITUTE(ContPID[[#This Row],[RealTag]],"-","_"),"-","_")</f>
        <v>FC_00104_001</v>
      </c>
      <c r="H28" t="str">
        <f>"_" &amp;ContPID[[#This Row],[Obj]]</f>
        <v>_FC_00104_001</v>
      </c>
      <c r="I28" t="s">
        <v>0</v>
      </c>
      <c r="J28">
        <f t="shared" si="4"/>
        <v>26</v>
      </c>
      <c r="L28" t="s">
        <v>1585</v>
      </c>
      <c r="M28" t="s">
        <v>3367</v>
      </c>
      <c r="N28" t="str">
        <f>SUBSTITUTE(HMIPATH_ContPID,"$",ContPID[[#This Row],[ID]])</f>
        <v>ObjContPID.InOut[26]</v>
      </c>
      <c r="O28" t="str" cm="1">
        <f t="array" ref="O28">FContPID(ContPID[[#This Row],[Obj]],ContPID[[#This Row],[SubSystem]],ContPID[[#This Row],[PV]])</f>
        <v xml:space="preserve">#FC_00104_001(cycle:=#cycle,
           reset:=#Unit.AHU.Command.General_reset,
           Process:=#Unit.FC_00104_001,
           InOut:=HVAC_R00104,
           Parameters:="HVAC_R00104"."FC_00104_001".Parameters,
           Settings:="HVAC_R00104"."FC_00104_001".Settings);
</v>
      </c>
      <c r="P28" t="str" cm="1">
        <f t="array" ref="P28">MUXContPID(ContPID[[#This Row],[Obj]],ContPID[[#This Row],[SubSystem]])</f>
        <v xml:space="preserve">#FC_00104_001(Object := "HVAC_R00104".FC_00104_001,
                InOut := "ObjContPID".InOut[#_FC_00104_001],
                Parameters:="ObjContPID".Parameters[#_FC_00104_001]);
</v>
      </c>
      <c r="Q28" t="str" cm="1">
        <f t="array" ref="Q28">PidAMS(ContPID[[#This Row],[Tag]])</f>
        <v xml:space="preserve">"AlarmWarningAMS"(Base:=#PID.InOut[_FC_00104_001].Base,
                  ConfigAMS:=#PID.AMS[_FC_00104_001],
                  ResultAMS:=#Unit.AMS);
</v>
      </c>
      <c r="R28" t="s">
        <v>1501</v>
      </c>
      <c r="S28" t="s">
        <v>1502</v>
      </c>
    </row>
    <row r="29" spans="1:19" x14ac:dyDescent="0.3">
      <c r="A29" t="s">
        <v>146</v>
      </c>
      <c r="B29" s="3" t="s">
        <v>1555</v>
      </c>
      <c r="C29" t="str">
        <f>RIGHT(ContPID[[#This Row],[RealTag]],LEN(ContPID[[#This Row],[RealTag]])-SEARCH("-",ContPID[[#This Row],[RealTag]],SEARCH("-",ContPID[[#This Row],[RealTag]])+1))</f>
        <v>001</v>
      </c>
      <c r="D29" s="3" t="s">
        <v>1442</v>
      </c>
      <c r="E29" t="str" cm="1">
        <f t="array" ref="E29">GetSystemFromTag(ContPID[[#This Row],[Obj]])</f>
        <v>HVAC_R00101</v>
      </c>
      <c r="F29" t="str" cm="1">
        <f t="array" ref="F29">GetSystemFromTag(ContPID[[#This Row],[Obj]])</f>
        <v>HVAC_R00101</v>
      </c>
      <c r="G29" t="str">
        <f>SUBSTITUTE(SUBSTITUTE(ContPID[[#This Row],[RealTag]],"-","_"),"-","_")</f>
        <v>PC_00101_001</v>
      </c>
      <c r="H29" t="str">
        <f>"_" &amp;ContPID[[#This Row],[Obj]]</f>
        <v>_PC_00101_001</v>
      </c>
      <c r="I29" t="s">
        <v>0</v>
      </c>
      <c r="J29">
        <f t="shared" si="4"/>
        <v>27</v>
      </c>
      <c r="L29" t="s">
        <v>1585</v>
      </c>
      <c r="M29" t="s">
        <v>3367</v>
      </c>
      <c r="N29" t="str">
        <f>SUBSTITUTE(HMIPATH_ContPID,"$",ContPID[[#This Row],[ID]])</f>
        <v>ObjContPID.InOut[27]</v>
      </c>
      <c r="O29" t="str" cm="1">
        <f t="array" ref="O29">FContPID(ContPID[[#This Row],[Obj]],ContPID[[#This Row],[SubSystem]],ContPID[[#This Row],[PV]])</f>
        <v xml:space="preserve">#PC_00101_001(cycle:=#cycle,
           reset:=#Unit.AHU.Command.General_reset,
           Process:=#Unit.PC_00101_001,
           InOut:=HVAC_R00101,
           Parameters:="HVAC_R00101"."PC_00101_001".Parameters,
           Settings:="HVAC_R00101"."PC_00101_001".Settings);
</v>
      </c>
      <c r="P29" t="str" cm="1">
        <f t="array" ref="P29">MUXContPID(ContPID[[#This Row],[Obj]],ContPID[[#This Row],[SubSystem]])</f>
        <v xml:space="preserve">#PC_00101_001(Object := "HVAC_R00101".PC_00101_001,
                InOut := "ObjContPID".InOut[#_PC_00101_001],
                Parameters:="ObjContPID".Parameters[#_PC_00101_001]);
</v>
      </c>
      <c r="Q29" t="str" cm="1">
        <f t="array" ref="Q29">PidAMS(ContPID[[#This Row],[Tag]])</f>
        <v xml:space="preserve">"AlarmWarningAMS"(Base:=#PID.InOut[_PC_00101_001].Base,
                  ConfigAMS:=#PID.AMS[_PC_00101_001],
                  ResultAMS:=#Unit.AMS);
</v>
      </c>
      <c r="R29" t="s">
        <v>1501</v>
      </c>
      <c r="S29" t="s">
        <v>1502</v>
      </c>
    </row>
    <row r="30" spans="1:19" x14ac:dyDescent="0.3">
      <c r="A30" t="s">
        <v>146</v>
      </c>
      <c r="B30" s="3" t="s">
        <v>1556</v>
      </c>
      <c r="C30" t="str">
        <f>RIGHT(ContPID[[#This Row],[RealTag]],LEN(ContPID[[#This Row],[RealTag]])-SEARCH("-",ContPID[[#This Row],[RealTag]],SEARCH("-",ContPID[[#This Row],[RealTag]])+1))</f>
        <v>001</v>
      </c>
      <c r="D30" s="3" t="s">
        <v>1442</v>
      </c>
      <c r="E30" t="str" cm="1">
        <f t="array" ref="E30">GetSystemFromTag(ContPID[[#This Row],[Obj]])</f>
        <v>HVAC_R00102</v>
      </c>
      <c r="F30" t="str" cm="1">
        <f t="array" ref="F30">GetSystemFromTag(ContPID[[#This Row],[Obj]])</f>
        <v>HVAC_R00102</v>
      </c>
      <c r="G30" t="str">
        <f>SUBSTITUTE(SUBSTITUTE(ContPID[[#This Row],[RealTag]],"-","_"),"-","_")</f>
        <v>PC_00102_001</v>
      </c>
      <c r="H30" t="str">
        <f>"_" &amp;ContPID[[#This Row],[Obj]]</f>
        <v>_PC_00102_001</v>
      </c>
      <c r="I30" t="s">
        <v>0</v>
      </c>
      <c r="J30">
        <f t="shared" si="4"/>
        <v>28</v>
      </c>
      <c r="L30" t="s">
        <v>1585</v>
      </c>
      <c r="M30" t="s">
        <v>3367</v>
      </c>
      <c r="N30" t="str">
        <f>SUBSTITUTE(HMIPATH_ContPID,"$",ContPID[[#This Row],[ID]])</f>
        <v>ObjContPID.InOut[28]</v>
      </c>
      <c r="O30" t="str" cm="1">
        <f t="array" ref="O30">FContPID(ContPID[[#This Row],[Obj]],ContPID[[#This Row],[SubSystem]],ContPID[[#This Row],[PV]])</f>
        <v xml:space="preserve">#PC_00102_001(cycle:=#cycle,
           reset:=#Unit.AHU.Command.General_reset,
           Process:=#Unit.PC_00102_001,
           InOut:=HVAC_R00102,
           Parameters:="HVAC_R00102"."PC_00102_001".Parameters,
           Settings:="HVAC_R00102"."PC_00102_001".Settings);
</v>
      </c>
      <c r="P30" t="str" cm="1">
        <f t="array" ref="P30">MUXContPID(ContPID[[#This Row],[Obj]],ContPID[[#This Row],[SubSystem]])</f>
        <v xml:space="preserve">#PC_00102_001(Object := "HVAC_R00102".PC_00102_001,
                InOut := "ObjContPID".InOut[#_PC_00102_001],
                Parameters:="ObjContPID".Parameters[#_PC_00102_001]);
</v>
      </c>
      <c r="Q30" t="str" cm="1">
        <f t="array" ref="Q30">PidAMS(ContPID[[#This Row],[Tag]])</f>
        <v xml:space="preserve">"AlarmWarningAMS"(Base:=#PID.InOut[_PC_00102_001].Base,
                  ConfigAMS:=#PID.AMS[_PC_00102_001],
                  ResultAMS:=#Unit.AMS);
</v>
      </c>
      <c r="R30" t="s">
        <v>1501</v>
      </c>
      <c r="S30" t="s">
        <v>1502</v>
      </c>
    </row>
    <row r="31" spans="1:19" x14ac:dyDescent="0.3">
      <c r="A31" t="s">
        <v>146</v>
      </c>
      <c r="B31" s="3" t="s">
        <v>1554</v>
      </c>
      <c r="C31" t="str">
        <f>RIGHT(ContPID[[#This Row],[RealTag]],LEN(ContPID[[#This Row],[RealTag]])-SEARCH("-",ContPID[[#This Row],[RealTag]],SEARCH("-",ContPID[[#This Row],[RealTag]])+1))</f>
        <v>001</v>
      </c>
      <c r="D31" s="3" t="s">
        <v>1442</v>
      </c>
      <c r="E31" t="str" cm="1">
        <f t="array" ref="E31">GetSystemFromTag(ContPID[[#This Row],[Obj]])</f>
        <v>HVAC_R00105</v>
      </c>
      <c r="F31" t="str" cm="1">
        <f t="array" ref="F31">GetSystemFromTag(ContPID[[#This Row],[Obj]])</f>
        <v>HVAC_R00105</v>
      </c>
      <c r="G31" t="str">
        <f>SUBSTITUTE(SUBSTITUTE(ContPID[[#This Row],[RealTag]],"-","_"),"-","_")</f>
        <v>PC_00105_001</v>
      </c>
      <c r="H31" t="str">
        <f>"_" &amp;ContPID[[#This Row],[Obj]]</f>
        <v>_PC_00105_001</v>
      </c>
      <c r="I31" t="s">
        <v>0</v>
      </c>
      <c r="J31">
        <f t="shared" ref="J31:J32" si="5">ROW()-2</f>
        <v>29</v>
      </c>
      <c r="L31" t="s">
        <v>1585</v>
      </c>
      <c r="M31" t="s">
        <v>3367</v>
      </c>
      <c r="N31" t="str">
        <f>SUBSTITUTE(HMIPATH_ContPID,"$",ContPID[[#This Row],[ID]])</f>
        <v>ObjContPID.InOut[29]</v>
      </c>
      <c r="O31" t="str" cm="1">
        <f t="array" ref="O31">FContPID(ContPID[[#This Row],[Obj]],ContPID[[#This Row],[SubSystem]],ContPID[[#This Row],[PV]])</f>
        <v xml:space="preserve">#PC_00105_001(cycle:=#cycle,
           reset:=#Unit.AHU.Command.General_reset,
           Process:=#Unit.PC_00105_001,
           InOut:=HVAC_R00105,
           Parameters:="HVAC_R00105"."PC_00105_001".Parameters,
           Settings:="HVAC_R00105"."PC_00105_001".Settings);
</v>
      </c>
      <c r="P31" t="str" cm="1">
        <f t="array" ref="P31">MUXContPID(ContPID[[#This Row],[Obj]],ContPID[[#This Row],[SubSystem]])</f>
        <v xml:space="preserve">#PC_00105_001(Object := "HVAC_R00105".PC_00105_001,
                InOut := "ObjContPID".InOut[#_PC_00105_001],
                Parameters:="ObjContPID".Parameters[#_PC_00105_001]);
</v>
      </c>
      <c r="Q31" t="str" cm="1">
        <f t="array" ref="Q31">PidAMS(ContPID[[#This Row],[Tag]])</f>
        <v xml:space="preserve">"AlarmWarningAMS"(Base:=#PID.InOut[_PC_00105_001].Base,
                  ConfigAMS:=#PID.AMS[_PC_00105_001],
                  ResultAMS:=#Unit.AMS);
</v>
      </c>
      <c r="R31" t="s">
        <v>1501</v>
      </c>
      <c r="S31" t="s">
        <v>1502</v>
      </c>
    </row>
    <row r="32" spans="1:19" x14ac:dyDescent="0.3">
      <c r="A32" t="s">
        <v>146</v>
      </c>
      <c r="B32" s="3" t="s">
        <v>1557</v>
      </c>
      <c r="C32" t="str">
        <f>RIGHT(ContPID[[#This Row],[RealTag]],LEN(ContPID[[#This Row],[RealTag]])-SEARCH("-",ContPID[[#This Row],[RealTag]],SEARCH("-",ContPID[[#This Row],[RealTag]])+1))</f>
        <v>00115-001</v>
      </c>
      <c r="D32" s="3" t="s">
        <v>1442</v>
      </c>
      <c r="E32" t="str" cm="1">
        <f t="array" ref="E32">GetSystemFromTag(ContPID[[#This Row],[Obj]])</f>
        <v>HVAC_R00115</v>
      </c>
      <c r="F32" t="str" cm="1">
        <f t="array" ref="F32">GetSystemFromTag(ContPID[[#This Row],[Obj]])</f>
        <v>HVAC_R00115</v>
      </c>
      <c r="G32" t="str">
        <f>SUBSTITUTE(SUBSTITUTE(ContPID[[#This Row],[RealTag]],"-","_"),"-","_")</f>
        <v>RCLG_TC_00115_001</v>
      </c>
      <c r="H32" t="str">
        <f>"_" &amp;ContPID[[#This Row],[Obj]]</f>
        <v>_RCLG_TC_00115_001</v>
      </c>
      <c r="I32" t="s">
        <v>0</v>
      </c>
      <c r="J32">
        <f t="shared" si="5"/>
        <v>30</v>
      </c>
      <c r="L32" t="s">
        <v>1585</v>
      </c>
      <c r="M32" t="s">
        <v>3367</v>
      </c>
      <c r="N32" t="str">
        <f>SUBSTITUTE(HMIPATH_ContPID,"$",ContPID[[#This Row],[ID]])</f>
        <v>ObjContPID.InOut[30]</v>
      </c>
      <c r="O32" t="str" cm="1">
        <f t="array" ref="O32">FContPID(ContPID[[#This Row],[Obj]],ContPID[[#This Row],[SubSystem]],ContPID[[#This Row],[PV]])</f>
        <v xml:space="preserve">#RCLG_TC_00115_001(cycle:=#cycle,
           reset:=#Unit.AHU.Command.General_reset,
           Process:=#Unit.RCLG_TC_00115_001,
           InOut:=HVAC_R00115,
           Parameters:="HVAC_R00115"."RCLG_TC_00115_001".Parameters,
           Settings:="HVAC_R00115"."RCLG_TC_00115_001".Settings);
</v>
      </c>
      <c r="P32" t="str" cm="1">
        <f t="array" ref="P32">MUXContPID(ContPID[[#This Row],[Obj]],ContPID[[#This Row],[SubSystem]])</f>
        <v xml:space="preserve">#RCLG_TC_00115_001(Object := "HVAC_R00115".RCLG_TC_00115_001,
                InOut := "ObjContPID".InOut[#_RCLG_TC_00115_001],
                Parameters:="ObjContPID".Parameters[#_RCLG_TC_00115_001]);
</v>
      </c>
      <c r="Q32" t="str" cm="1">
        <f t="array" ref="Q32">PidAMS(ContPID[[#This Row],[Tag]])</f>
        <v xml:space="preserve">"AlarmWarningAMS"(Base:=#PID.InOut[_RCLG_TC_00115_001].Base,
                  ConfigAMS:=#PID.AMS[_RCLG_TC_00115_001],
                  ResultAMS:=#Unit.AMS);
</v>
      </c>
      <c r="R32" t="s">
        <v>1501</v>
      </c>
      <c r="S32" t="s">
        <v>1502</v>
      </c>
    </row>
    <row r="33" spans="1:19" x14ac:dyDescent="0.3">
      <c r="A33" t="s">
        <v>146</v>
      </c>
      <c r="B33" s="3" t="s">
        <v>1558</v>
      </c>
      <c r="C33" t="str">
        <f>RIGHT(ContPID[[#This Row],[RealTag]],LEN(ContPID[[#This Row],[RealTag]])-SEARCH("-",ContPID[[#This Row],[RealTag]],SEARCH("-",ContPID[[#This Row],[RealTag]])+1))</f>
        <v>001</v>
      </c>
      <c r="D33" s="3" t="s">
        <v>1442</v>
      </c>
      <c r="E33" t="str" cm="1">
        <f t="array" ref="E33">GetSystemFromTag(ContPID[[#This Row],[Obj]])</f>
        <v>HVAC_R00115</v>
      </c>
      <c r="F33" t="str" cm="1">
        <f t="array" ref="F33">GetSystemFromTag(ContPID[[#This Row],[Obj]])</f>
        <v>HVAC_R00115</v>
      </c>
      <c r="G33" t="str">
        <f>SUBSTITUTE(SUBSTITUTE(ContPID[[#This Row],[RealTag]],"-","_"),"-","_")</f>
        <v>PC_00115_001</v>
      </c>
      <c r="H33" t="str">
        <f>"_" &amp;ContPID[[#This Row],[Obj]]</f>
        <v>_PC_00115_001</v>
      </c>
      <c r="I33" t="s">
        <v>0</v>
      </c>
      <c r="J33">
        <f t="shared" ref="J33:J39" si="6">ROW()-2</f>
        <v>31</v>
      </c>
      <c r="L33" t="s">
        <v>1585</v>
      </c>
      <c r="M33" t="s">
        <v>3367</v>
      </c>
      <c r="N33" t="str">
        <f>SUBSTITUTE(HMIPATH_ContPID,"$",ContPID[[#This Row],[ID]])</f>
        <v>ObjContPID.InOut[31]</v>
      </c>
      <c r="O33" t="str" cm="1">
        <f t="array" ref="O33">FContPID(ContPID[[#This Row],[Obj]],ContPID[[#This Row],[SubSystem]],ContPID[[#This Row],[PV]])</f>
        <v xml:space="preserve">#PC_00115_001(cycle:=#cycle,
           reset:=#Unit.AHU.Command.General_reset,
           Process:=#Unit.PC_00115_001,
           InOut:=HVAC_R00115,
           Parameters:="HVAC_R00115"."PC_00115_001".Parameters,
           Settings:="HVAC_R00115"."PC_00115_001".Settings);
</v>
      </c>
      <c r="P33" t="str" cm="1">
        <f t="array" ref="P33">MUXContPID(ContPID[[#This Row],[Obj]],ContPID[[#This Row],[SubSystem]])</f>
        <v xml:space="preserve">#PC_00115_001(Object := "HVAC_R00115".PC_00115_001,
                InOut := "ObjContPID".InOut[#_PC_00115_001],
                Parameters:="ObjContPID".Parameters[#_PC_00115_001]);
</v>
      </c>
      <c r="Q33" t="str" cm="1">
        <f t="array" ref="Q33">PidAMS(ContPID[[#This Row],[Tag]])</f>
        <v xml:space="preserve">"AlarmWarningAMS"(Base:=#PID.InOut[_PC_00115_001].Base,
                  ConfigAMS:=#PID.AMS[_PC_00115_001],
                  ResultAMS:=#Unit.AMS);
</v>
      </c>
      <c r="R33" t="s">
        <v>1501</v>
      </c>
      <c r="S33" t="s">
        <v>1502</v>
      </c>
    </row>
    <row r="34" spans="1:19" x14ac:dyDescent="0.3">
      <c r="A34" t="s">
        <v>146</v>
      </c>
      <c r="B34" s="3" t="s">
        <v>1559</v>
      </c>
      <c r="C34" t="str">
        <f>RIGHT(ContPID[[#This Row],[RealTag]],LEN(ContPID[[#This Row],[RealTag]])-SEARCH("-",ContPID[[#This Row],[RealTag]],SEARCH("-",ContPID[[#This Row],[RealTag]])+1))</f>
        <v>001</v>
      </c>
      <c r="D34" s="3" t="s">
        <v>1442</v>
      </c>
      <c r="E34" t="str" cm="1">
        <f t="array" ref="E34">GetSystemFromTag(ContPID[[#This Row],[Obj]])</f>
        <v>HVAC_R00115</v>
      </c>
      <c r="F34" t="str" cm="1">
        <f t="array" ref="F34">GetSystemFromTag(ContPID[[#This Row],[Obj]])</f>
        <v>HVAC_R00115</v>
      </c>
      <c r="G34" t="str">
        <f>SUBSTITUTE(SUBSTITUTE(ContPID[[#This Row],[RealTag]],"-","_"),"-","_")</f>
        <v>FC_00115_001</v>
      </c>
      <c r="H34" t="str">
        <f>"_" &amp;ContPID[[#This Row],[Obj]]</f>
        <v>_FC_00115_001</v>
      </c>
      <c r="I34" t="s">
        <v>0</v>
      </c>
      <c r="J34">
        <f t="shared" si="6"/>
        <v>32</v>
      </c>
      <c r="L34" t="s">
        <v>1585</v>
      </c>
      <c r="M34" t="s">
        <v>3367</v>
      </c>
      <c r="N34" t="str">
        <f>SUBSTITUTE(HMIPATH_ContPID,"$",ContPID[[#This Row],[ID]])</f>
        <v>ObjContPID.InOut[32]</v>
      </c>
      <c r="O34" t="str" cm="1">
        <f t="array" ref="O34">FContPID(ContPID[[#This Row],[Obj]],ContPID[[#This Row],[SubSystem]],ContPID[[#This Row],[PV]])</f>
        <v xml:space="preserve">#FC_00115_001(cycle:=#cycle,
           reset:=#Unit.AHU.Command.General_reset,
           Process:=#Unit.FC_00115_001,
           InOut:=HVAC_R00115,
           Parameters:="HVAC_R00115"."FC_00115_001".Parameters,
           Settings:="HVAC_R00115"."FC_00115_001".Settings);
</v>
      </c>
      <c r="P34" t="str" cm="1">
        <f t="array" ref="P34">MUXContPID(ContPID[[#This Row],[Obj]],ContPID[[#This Row],[SubSystem]])</f>
        <v xml:space="preserve">#FC_00115_001(Object := "HVAC_R00115".FC_00115_001,
                InOut := "ObjContPID".InOut[#_FC_00115_001],
                Parameters:="ObjContPID".Parameters[#_FC_00115_001]);
</v>
      </c>
      <c r="Q34" t="str" cm="1">
        <f t="array" ref="Q34">PidAMS(ContPID[[#This Row],[Tag]])</f>
        <v xml:space="preserve">"AlarmWarningAMS"(Base:=#PID.InOut[_FC_00115_001].Base,
                  ConfigAMS:=#PID.AMS[_FC_00115_001],
                  ResultAMS:=#Unit.AMS);
</v>
      </c>
      <c r="R34" t="s">
        <v>1501</v>
      </c>
      <c r="S34" t="s">
        <v>1502</v>
      </c>
    </row>
    <row r="35" spans="1:19" x14ac:dyDescent="0.3">
      <c r="A35" t="s">
        <v>146</v>
      </c>
      <c r="B35" s="3" t="s">
        <v>1560</v>
      </c>
      <c r="C35" t="str">
        <f>RIGHT(ContPID[[#This Row],[RealTag]],LEN(ContPID[[#This Row],[RealTag]])-SEARCH("-",ContPID[[#This Row],[RealTag]],SEARCH("-",ContPID[[#This Row],[RealTag]])+1))</f>
        <v>001</v>
      </c>
      <c r="D35" s="3" t="s">
        <v>1442</v>
      </c>
      <c r="E35" t="str" cm="1">
        <f t="array" ref="E35">GetSystemFromTag(ContPID[[#This Row],[Obj]])</f>
        <v>HVAC_R00113</v>
      </c>
      <c r="F35" t="str" cm="1">
        <f t="array" ref="F35">GetSystemFromTag(ContPID[[#This Row],[Obj]])</f>
        <v>HVAC_R00113</v>
      </c>
      <c r="G35" t="str">
        <f>SUBSTITUTE(SUBSTITUTE(ContPID[[#This Row],[RealTag]],"-","_"),"-","_")</f>
        <v>PC_00113_001</v>
      </c>
      <c r="H35" t="str">
        <f>"_" &amp;ContPID[[#This Row],[Obj]]</f>
        <v>_PC_00113_001</v>
      </c>
      <c r="I35" t="s">
        <v>0</v>
      </c>
      <c r="J35">
        <f t="shared" si="6"/>
        <v>33</v>
      </c>
      <c r="L35" t="s">
        <v>1585</v>
      </c>
      <c r="M35" t="s">
        <v>3367</v>
      </c>
      <c r="N35" t="str">
        <f>SUBSTITUTE(HMIPATH_ContPID,"$",ContPID[[#This Row],[ID]])</f>
        <v>ObjContPID.InOut[33]</v>
      </c>
      <c r="O35" t="str" cm="1">
        <f t="array" ref="O35">FContPID(ContPID[[#This Row],[Obj]],ContPID[[#This Row],[SubSystem]],ContPID[[#This Row],[PV]])</f>
        <v xml:space="preserve">#PC_00113_001(cycle:=#cycle,
           reset:=#Unit.AHU.Command.General_reset,
           Process:=#Unit.PC_00113_001,
           InOut:=HVAC_R00113,
           Parameters:="HVAC_R00113"."PC_00113_001".Parameters,
           Settings:="HVAC_R00113"."PC_00113_001".Settings);
</v>
      </c>
      <c r="P35" t="str" cm="1">
        <f t="array" ref="P35">MUXContPID(ContPID[[#This Row],[Obj]],ContPID[[#This Row],[SubSystem]])</f>
        <v xml:space="preserve">#PC_00113_001(Object := "HVAC_R00113".PC_00113_001,
                InOut := "ObjContPID".InOut[#_PC_00113_001],
                Parameters:="ObjContPID".Parameters[#_PC_00113_001]);
</v>
      </c>
      <c r="Q35" t="str" cm="1">
        <f t="array" ref="Q35">PidAMS(ContPID[[#This Row],[Tag]])</f>
        <v xml:space="preserve">"AlarmWarningAMS"(Base:=#PID.InOut[_PC_00113_001].Base,
                  ConfigAMS:=#PID.AMS[_PC_00113_001],
                  ResultAMS:=#Unit.AMS);
</v>
      </c>
      <c r="R35" t="s">
        <v>1501</v>
      </c>
      <c r="S35" t="s">
        <v>1502</v>
      </c>
    </row>
    <row r="36" spans="1:19" x14ac:dyDescent="0.3">
      <c r="A36" t="s">
        <v>146</v>
      </c>
      <c r="B36" s="3" t="s">
        <v>1561</v>
      </c>
      <c r="C36" t="str">
        <f>RIGHT(ContPID[[#This Row],[RealTag]],LEN(ContPID[[#This Row],[RealTag]])-SEARCH("-",ContPID[[#This Row],[RealTag]],SEARCH("-",ContPID[[#This Row],[RealTag]])+1))</f>
        <v>001</v>
      </c>
      <c r="D36" s="3" t="s">
        <v>1442</v>
      </c>
      <c r="E36" t="str" cm="1">
        <f t="array" ref="E36">GetSystemFromTag(ContPID[[#This Row],[Obj]])</f>
        <v>HVAC_R00114</v>
      </c>
      <c r="F36" t="str" cm="1">
        <f t="array" ref="F36">GetSystemFromTag(ContPID[[#This Row],[Obj]])</f>
        <v>HVAC_R00114</v>
      </c>
      <c r="G36" t="str">
        <f>SUBSTITUTE(SUBSTITUTE(ContPID[[#This Row],[RealTag]],"-","_"),"-","_")</f>
        <v>PC_00114_001</v>
      </c>
      <c r="H36" t="str">
        <f>"_" &amp;ContPID[[#This Row],[Obj]]</f>
        <v>_PC_00114_001</v>
      </c>
      <c r="I36" t="s">
        <v>0</v>
      </c>
      <c r="J36">
        <f t="shared" si="6"/>
        <v>34</v>
      </c>
      <c r="L36" t="s">
        <v>1585</v>
      </c>
      <c r="M36" t="s">
        <v>3367</v>
      </c>
      <c r="N36" t="str">
        <f>SUBSTITUTE(HMIPATH_ContPID,"$",ContPID[[#This Row],[ID]])</f>
        <v>ObjContPID.InOut[34]</v>
      </c>
      <c r="O36" t="str" cm="1">
        <f t="array" ref="O36">FContPID(ContPID[[#This Row],[Obj]],ContPID[[#This Row],[SubSystem]],ContPID[[#This Row],[PV]])</f>
        <v xml:space="preserve">#PC_00114_001(cycle:=#cycle,
           reset:=#Unit.AHU.Command.General_reset,
           Process:=#Unit.PC_00114_001,
           InOut:=HVAC_R00114,
           Parameters:="HVAC_R00114"."PC_00114_001".Parameters,
           Settings:="HVAC_R00114"."PC_00114_001".Settings);
</v>
      </c>
      <c r="P36" t="str" cm="1">
        <f t="array" ref="P36">MUXContPID(ContPID[[#This Row],[Obj]],ContPID[[#This Row],[SubSystem]])</f>
        <v xml:space="preserve">#PC_00114_001(Object := "HVAC_R00114".PC_00114_001,
                InOut := "ObjContPID".InOut[#_PC_00114_001],
                Parameters:="ObjContPID".Parameters[#_PC_00114_001]);
</v>
      </c>
      <c r="Q36" t="str" cm="1">
        <f t="array" ref="Q36">PidAMS(ContPID[[#This Row],[Tag]])</f>
        <v xml:space="preserve">"AlarmWarningAMS"(Base:=#PID.InOut[_PC_00114_001].Base,
                  ConfigAMS:=#PID.AMS[_PC_00114_001],
                  ResultAMS:=#Unit.AMS);
</v>
      </c>
      <c r="R36" t="s">
        <v>1501</v>
      </c>
      <c r="S36" t="s">
        <v>1502</v>
      </c>
    </row>
    <row r="37" spans="1:19" x14ac:dyDescent="0.3">
      <c r="A37" t="s">
        <v>146</v>
      </c>
      <c r="B37" s="3" t="s">
        <v>1580</v>
      </c>
      <c r="C37" t="str">
        <f>RIGHT(ContPID[[#This Row],[RealTag]],LEN(ContPID[[#This Row],[RealTag]])-SEARCH("-",ContPID[[#This Row],[RealTag]],SEARCH("-",ContPID[[#This Row],[RealTag]])+1))</f>
        <v>001</v>
      </c>
      <c r="D37" s="3" t="s">
        <v>1443</v>
      </c>
      <c r="E37" t="str" cm="1">
        <f t="array" ref="E37">GetSystemFromTag(ContPID[[#This Row],[Obj]])</f>
        <v>HVAC_R00112</v>
      </c>
      <c r="F37" t="str" cm="1">
        <f t="array" ref="F37">GetSystemFromTag(ContPID[[#This Row],[Obj]])</f>
        <v>HVAC_R00112</v>
      </c>
      <c r="G37" t="str">
        <f>SUBSTITUTE(SUBSTITUTE(ContPID[[#This Row],[RealTag]],"-","_"),"-","_")</f>
        <v>PC_00112_001</v>
      </c>
      <c r="H37" t="str">
        <f>"_" &amp;ContPID[[#This Row],[Obj]]</f>
        <v>_PC_00112_001</v>
      </c>
      <c r="I37" t="s">
        <v>0</v>
      </c>
      <c r="J37">
        <f t="shared" si="6"/>
        <v>35</v>
      </c>
      <c r="L37" t="s">
        <v>1585</v>
      </c>
      <c r="M37" t="s">
        <v>3367</v>
      </c>
      <c r="N37" t="str">
        <f>SUBSTITUTE(HMIPATH_ContPID,"$",ContPID[[#This Row],[ID]])</f>
        <v>ObjContPID.InOut[35]</v>
      </c>
      <c r="O37" t="str" cm="1">
        <f t="array" ref="O37">FContPID(ContPID[[#This Row],[Obj]],ContPID[[#This Row],[SubSystem]],ContPID[[#This Row],[PV]])</f>
        <v xml:space="preserve">#PC_00112_001(cycle:=#cycle,
           reset:=#Unit.AHU.Command.General_reset,
           Process:=#Unit.PC_00112_001,
           InOut:=HVAC_R00112,
           Parameters:="HVAC_R00112"."PC_00112_001".Parameters,
           Settings:="HVAC_R00112"."PC_00112_001".Settings);
</v>
      </c>
      <c r="P37" t="str" cm="1">
        <f t="array" ref="P37">MUXContPID(ContPID[[#This Row],[Obj]],ContPID[[#This Row],[SubSystem]])</f>
        <v xml:space="preserve">#PC_00112_001(Object := "HVAC_R00112".PC_00112_001,
                InOut := "ObjContPID".InOut[#_PC_00112_001],
                Parameters:="ObjContPID".Parameters[#_PC_00112_001]);
</v>
      </c>
      <c r="Q37" t="str" cm="1">
        <f t="array" ref="Q37">PidAMS(ContPID[[#This Row],[Tag]])</f>
        <v xml:space="preserve">"AlarmWarningAMS"(Base:=#PID.InOut[_PC_00112_001].Base,
                  ConfigAMS:=#PID.AMS[_PC_00112_001],
                  ResultAMS:=#Unit.AMS);
</v>
      </c>
      <c r="R37" t="s">
        <v>1501</v>
      </c>
      <c r="S37" t="s">
        <v>1502</v>
      </c>
    </row>
    <row r="38" spans="1:19" x14ac:dyDescent="0.3">
      <c r="A38" t="s">
        <v>146</v>
      </c>
      <c r="B38" s="3" t="s">
        <v>1581</v>
      </c>
      <c r="C38" t="str">
        <f>RIGHT(ContPID[[#This Row],[RealTag]],LEN(ContPID[[#This Row],[RealTag]])-SEARCH("-",ContPID[[#This Row],[RealTag]],SEARCH("-",ContPID[[#This Row],[RealTag]])+1))</f>
        <v>001</v>
      </c>
      <c r="D38" s="3" t="s">
        <v>1443</v>
      </c>
      <c r="E38" t="str" cm="1">
        <f t="array" ref="E38">GetSystemFromTag(ContPID[[#This Row],[Obj]])</f>
        <v>HVAC_R00112</v>
      </c>
      <c r="F38" t="str" cm="1">
        <f t="array" ref="F38">GetSystemFromTag(ContPID[[#This Row],[Obj]])</f>
        <v>HVAC_R00112</v>
      </c>
      <c r="G38" t="str">
        <f>SUBSTITUTE(SUBSTITUTE(ContPID[[#This Row],[RealTag]],"-","_"),"-","_")</f>
        <v>FC_00112_001</v>
      </c>
      <c r="H38" t="str">
        <f>"_" &amp;ContPID[[#This Row],[Obj]]</f>
        <v>_FC_00112_001</v>
      </c>
      <c r="I38" t="s">
        <v>0</v>
      </c>
      <c r="J38">
        <f t="shared" si="6"/>
        <v>36</v>
      </c>
      <c r="L38" t="s">
        <v>1585</v>
      </c>
      <c r="M38" t="s">
        <v>3367</v>
      </c>
      <c r="N38" t="str">
        <f>SUBSTITUTE(HMIPATH_ContPID,"$",ContPID[[#This Row],[ID]])</f>
        <v>ObjContPID.InOut[36]</v>
      </c>
      <c r="O38" t="str" cm="1">
        <f t="array" ref="O38">FContPID(ContPID[[#This Row],[Obj]],ContPID[[#This Row],[SubSystem]],ContPID[[#This Row],[PV]])</f>
        <v xml:space="preserve">#FC_00112_001(cycle:=#cycle,
           reset:=#Unit.AHU.Command.General_reset,
           Process:=#Unit.FC_00112_001,
           InOut:=HVAC_R00112,
           Parameters:="HVAC_R00112"."FC_00112_001".Parameters,
           Settings:="HVAC_R00112"."FC_00112_001".Settings);
</v>
      </c>
      <c r="P38" t="str" cm="1">
        <f t="array" ref="P38">MUXContPID(ContPID[[#This Row],[Obj]],ContPID[[#This Row],[SubSystem]])</f>
        <v xml:space="preserve">#FC_00112_001(Object := "HVAC_R00112".FC_00112_001,
                InOut := "ObjContPID".InOut[#_FC_00112_001],
                Parameters:="ObjContPID".Parameters[#_FC_00112_001]);
</v>
      </c>
      <c r="Q38" t="str" cm="1">
        <f t="array" ref="Q38">PidAMS(ContPID[[#This Row],[Tag]])</f>
        <v xml:space="preserve">"AlarmWarningAMS"(Base:=#PID.InOut[_FC_00112_001].Base,
                  ConfigAMS:=#PID.AMS[_FC_00112_001],
                  ResultAMS:=#Unit.AMS);
</v>
      </c>
      <c r="R38" t="s">
        <v>1501</v>
      </c>
      <c r="S38" t="s">
        <v>1502</v>
      </c>
    </row>
    <row r="39" spans="1:19" x14ac:dyDescent="0.3">
      <c r="A39" t="s">
        <v>146</v>
      </c>
      <c r="B39" s="3" t="s">
        <v>1582</v>
      </c>
      <c r="C39" t="str">
        <f>RIGHT(ContPID[[#This Row],[RealTag]],LEN(ContPID[[#This Row],[RealTag]])-SEARCH("-",ContPID[[#This Row],[RealTag]],SEARCH("-",ContPID[[#This Row],[RealTag]])+1))</f>
        <v>SU01B-001</v>
      </c>
      <c r="D39" s="3" t="s">
        <v>1443</v>
      </c>
      <c r="E39" t="str" cm="1">
        <f t="array" ref="E39">GetSystemFromTag(ContPID[[#This Row],[Obj]])</f>
        <v>HVAC_SU01B</v>
      </c>
      <c r="F39" t="str" cm="1">
        <f t="array" ref="F39">GetSystemFromTag(ContPID[[#This Row],[Obj]])</f>
        <v>HVAC_SU01B</v>
      </c>
      <c r="G39" t="str">
        <f>SUBSTITUTE(SUBSTITUTE(ContPID[[#This Row],[RealTag]],"-","_"),"-","_")</f>
        <v>MTR_TC_SU01B_001</v>
      </c>
      <c r="H39" t="str">
        <f>"_" &amp;ContPID[[#This Row],[Obj]]</f>
        <v>_MTR_TC_SU01B_001</v>
      </c>
      <c r="I39" t="s">
        <v>0</v>
      </c>
      <c r="J39">
        <f t="shared" si="6"/>
        <v>37</v>
      </c>
      <c r="L39" t="s">
        <v>1585</v>
      </c>
      <c r="M39" t="s">
        <v>3367</v>
      </c>
      <c r="N39" t="str">
        <f>SUBSTITUTE(HMIPATH_ContPID,"$",ContPID[[#This Row],[ID]])</f>
        <v>ObjContPID.InOut[37]</v>
      </c>
      <c r="O39" t="str" cm="1">
        <f t="array" ref="O39">FContPID(ContPID[[#This Row],[Obj]],ContPID[[#This Row],[SubSystem]],ContPID[[#This Row],[PV]])</f>
        <v xml:space="preserve">#MTR_TC_SU01B_001(cycle:=#cycle,
           reset:=#Unit.AHU.Command.General_reset,
           Process:=#Unit.MTR_TC_SU01B_001,
           InOut:=HVAC_SU01B,
           Parameters:="HVAC_SU01B"."MTR_TC_SU01B_001".Parameters,
           Settings:="HVAC_SU01B"."MTR_TC_SU01B_001".Settings);
</v>
      </c>
      <c r="P39" t="str" cm="1">
        <f t="array" ref="P39">MUXContPID(ContPID[[#This Row],[Obj]],ContPID[[#This Row],[SubSystem]])</f>
        <v xml:space="preserve">#MTR_TC_SU01B_001(Object := "HVAC_SU01B".MTR_TC_SU01B_001,
                InOut := "ObjContPID".InOut[#_MTR_TC_SU01B_001],
                Parameters:="ObjContPID".Parameters[#_MTR_TC_SU01B_001]);
</v>
      </c>
      <c r="Q39" t="str" cm="1">
        <f t="array" ref="Q39">PidAMS(ContPID[[#This Row],[Tag]])</f>
        <v xml:space="preserve">"AlarmWarningAMS"(Base:=#PID.InOut[_MTR_TC_SU01B_001].Base,
                  ConfigAMS:=#PID.AMS[_MTR_TC_SU01B_001],
                  ResultAMS:=#Unit.AMS);
</v>
      </c>
      <c r="R39" t="s">
        <v>1501</v>
      </c>
      <c r="S39" t="s">
        <v>1502</v>
      </c>
    </row>
    <row r="40" spans="1:19" x14ac:dyDescent="0.3">
      <c r="A40" t="s">
        <v>146</v>
      </c>
      <c r="B40" s="3" t="s">
        <v>1583</v>
      </c>
      <c r="C40" t="str">
        <f>RIGHT(ContPID[[#This Row],[RealTag]],LEN(ContPID[[#This Row],[RealTag]])-SEARCH("-",ContPID[[#This Row],[RealTag]],SEARCH("-",ContPID[[#This Row],[RealTag]])+1))</f>
        <v>SU01B-001</v>
      </c>
      <c r="D40" s="3" t="s">
        <v>1443</v>
      </c>
      <c r="E40" t="str" cm="1">
        <f t="array" ref="E40">GetSystemFromTag(ContPID[[#This Row],[Obj]])</f>
        <v>HVAC_SU01B</v>
      </c>
      <c r="F40" t="str" cm="1">
        <f t="array" ref="F40">GetSystemFromTag(ContPID[[#This Row],[Obj]])</f>
        <v>HVAC_SU01B</v>
      </c>
      <c r="G40" t="str">
        <f>SUBSTITUTE(SUBSTITUTE(ContPID[[#This Row],[RealTag]],"-","_"),"-","_")</f>
        <v>CLG_TC_SU01B_001</v>
      </c>
      <c r="H40" t="str">
        <f>"_" &amp;ContPID[[#This Row],[Obj]]</f>
        <v>_CLG_TC_SU01B_001</v>
      </c>
      <c r="I40" t="s">
        <v>0</v>
      </c>
      <c r="J40">
        <f>ROW()-2</f>
        <v>38</v>
      </c>
      <c r="L40" t="s">
        <v>1585</v>
      </c>
      <c r="M40" t="s">
        <v>3367</v>
      </c>
      <c r="N40" t="str">
        <f>SUBSTITUTE(HMIPATH_ContPID,"$",ContPID[[#This Row],[ID]])</f>
        <v>ObjContPID.InOut[38]</v>
      </c>
      <c r="O40" t="str" cm="1">
        <f t="array" ref="O40">FContPID(ContPID[[#This Row],[Obj]],ContPID[[#This Row],[SubSystem]],ContPID[[#This Row],[PV]])</f>
        <v xml:space="preserve">#CLG_TC_SU01B_001(cycle:=#cycle,
           reset:=#Unit.AHU.Command.General_reset,
           Process:=#Unit.CLG_TC_SU01B_001,
           InOut:=HVAC_SU01B,
           Parameters:="HVAC_SU01B"."CLG_TC_SU01B_001".Parameters,
           Settings:="HVAC_SU01B"."CLG_TC_SU01B_001".Settings);
</v>
      </c>
      <c r="P40" t="str" cm="1">
        <f t="array" ref="P40">MUXContPID(ContPID[[#This Row],[Obj]],ContPID[[#This Row],[SubSystem]])</f>
        <v xml:space="preserve">#CLG_TC_SU01B_001(Object := "HVAC_SU01B".CLG_TC_SU01B_001,
                InOut := "ObjContPID".InOut[#_CLG_TC_SU01B_001],
                Parameters:="ObjContPID".Parameters[#_CLG_TC_SU01B_001]);
</v>
      </c>
      <c r="Q40" t="str" cm="1">
        <f t="array" ref="Q40">PidAMS(ContPID[[#This Row],[Tag]])</f>
        <v xml:space="preserve">"AlarmWarningAMS"(Base:=#PID.InOut[_CLG_TC_SU01B_001].Base,
                  ConfigAMS:=#PID.AMS[_CLG_TC_SU01B_001],
                  ResultAMS:=#Unit.AMS);
</v>
      </c>
      <c r="R40" t="s">
        <v>1501</v>
      </c>
      <c r="S40" t="s">
        <v>1502</v>
      </c>
    </row>
    <row r="41" spans="1:19" x14ac:dyDescent="0.3">
      <c r="D41" s="3"/>
    </row>
    <row r="42" spans="1:19" x14ac:dyDescent="0.3">
      <c r="D42" s="3"/>
    </row>
    <row r="43" spans="1:19" x14ac:dyDescent="0.3">
      <c r="D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4C5B-4A4B-4D67-A187-7713FF681BFD}">
  <sheetPr codeName="Sheet18">
    <tabColor theme="4" tint="-0.499984740745262"/>
  </sheetPr>
  <dimension ref="A1:L11"/>
  <sheetViews>
    <sheetView workbookViewId="0">
      <selection activeCell="J2" sqref="J2:J6"/>
    </sheetView>
  </sheetViews>
  <sheetFormatPr defaultRowHeight="16.5" x14ac:dyDescent="0.3"/>
  <cols>
    <col min="1" max="1" width="17.375" bestFit="1" customWidth="1"/>
    <col min="2" max="2" width="20.125" bestFit="1" customWidth="1"/>
    <col min="3" max="3" width="9.5" bestFit="1" customWidth="1"/>
    <col min="4" max="4" width="20.125" bestFit="1" customWidth="1"/>
    <col min="5" max="5" width="20.875" bestFit="1" customWidth="1"/>
    <col min="6" max="6" width="16.375" bestFit="1" customWidth="1"/>
    <col min="7" max="7" width="5.125" bestFit="1" customWidth="1"/>
    <col min="8" max="8" width="16.375" bestFit="1" customWidth="1"/>
    <col min="9" max="9" width="6.375" bestFit="1" customWidth="1"/>
    <col min="10" max="10" width="40.75" bestFit="1" customWidth="1"/>
    <col min="11" max="11" width="17.75" customWidth="1"/>
  </cols>
  <sheetData>
    <row r="1" spans="1:12" x14ac:dyDescent="0.3">
      <c r="A1" t="s">
        <v>141</v>
      </c>
      <c r="B1" t="s">
        <v>7</v>
      </c>
      <c r="C1" s="3" t="s">
        <v>132</v>
      </c>
      <c r="D1" s="3" t="s">
        <v>1609</v>
      </c>
      <c r="E1" t="s">
        <v>5</v>
      </c>
      <c r="F1" t="s">
        <v>2</v>
      </c>
      <c r="G1" t="s">
        <v>3</v>
      </c>
      <c r="H1" t="s">
        <v>4</v>
      </c>
      <c r="I1" t="s">
        <v>31</v>
      </c>
      <c r="J1" t="s">
        <v>34</v>
      </c>
      <c r="K1" t="s">
        <v>32</v>
      </c>
      <c r="L1" t="s">
        <v>879</v>
      </c>
    </row>
    <row r="2" spans="1:12" x14ac:dyDescent="0.3">
      <c r="A2" t="s">
        <v>1495</v>
      </c>
      <c r="B2" t="str">
        <f>SUBSTITUTE(Unit[[#This Row],[Obj]],"_","-")</f>
        <v>SPARE-PWM-0</v>
      </c>
      <c r="C2" s="3"/>
      <c r="D2" t="str" cm="1">
        <f t="array" ref="D2">GetSystemFromTag(Unit[[#This Row],[Obj]])</f>
        <v>N/A</v>
      </c>
      <c r="E2" t="str">
        <f>"SPARE_PWM_" &amp; Unit[[#This Row],[ID]]</f>
        <v>SPARE_PWM_0</v>
      </c>
      <c r="F2" t="str">
        <f>"_" &amp; Unit[[#This Row],[Obj]]</f>
        <v>_SPARE_PWM_0</v>
      </c>
      <c r="G2" t="s">
        <v>0</v>
      </c>
      <c r="H2">
        <f>ROW()-2</f>
        <v>0</v>
      </c>
      <c r="I2" t="s">
        <v>1585</v>
      </c>
      <c r="J2" t="s">
        <v>3367</v>
      </c>
      <c r="K2" t="str">
        <f>SUBSTITUTE(HMIPATH_Unit,"$",Unit[[#This Row],[ID]])</f>
        <v>ObjUnit.InOut[0]</v>
      </c>
      <c r="L2" t="str" cm="1">
        <f t="array" ref="L2">MUXUnit(Unit[[#This Row],[Obj]],Unit[[#This Row],[SubSystem]])</f>
        <v/>
      </c>
    </row>
    <row r="3" spans="1:12" x14ac:dyDescent="0.3">
      <c r="A3" t="s">
        <v>1495</v>
      </c>
      <c r="B3" t="s">
        <v>1442</v>
      </c>
      <c r="C3" s="3" t="s">
        <v>1442</v>
      </c>
      <c r="D3" t="str" cm="1">
        <f t="array" ref="D3">GetSystemFromTag(Unit[[#This Row],[Obj]])</f>
        <v>HVAC_SU01</v>
      </c>
      <c r="E3" t="str">
        <f>SUBSTITUTE(SUBSTITUTE(Unit[[#This Row],[RealTag]],"-","_"),"-","_")</f>
        <v>SU01</v>
      </c>
      <c r="F3" t="str">
        <f>"_" &amp; Unit[[#This Row],[Obj]]</f>
        <v>_SU01</v>
      </c>
      <c r="G3" t="s">
        <v>0</v>
      </c>
      <c r="H3">
        <f t="shared" ref="H3:H4" si="0">ROW()-2</f>
        <v>1</v>
      </c>
      <c r="I3" t="s">
        <v>1585</v>
      </c>
      <c r="J3" t="s">
        <v>3367</v>
      </c>
      <c r="K3" t="str">
        <f>SUBSTITUTE(HMIPATH_Unit,"$",Unit[[#This Row],[ID]])</f>
        <v>ObjUnit.InOut[1]</v>
      </c>
      <c r="L3" t="str" cm="1">
        <f t="array" ref="L3">MUXUnit(Unit[[#This Row],[Obj]],Unit[[#This Row],[SubSystem]])</f>
        <v xml:space="preserve">#SU01(Object := "HVAC_SU01".SU01.InOut,
               InOut := "ObjUnit".InOut[#_SU01]);
</v>
      </c>
    </row>
    <row r="4" spans="1:12" x14ac:dyDescent="0.3">
      <c r="A4" t="s">
        <v>1495</v>
      </c>
      <c r="B4" t="s">
        <v>1443</v>
      </c>
      <c r="C4" s="3" t="s">
        <v>1443</v>
      </c>
      <c r="D4" t="str" cm="1">
        <f t="array" ref="D4">GetSystemFromTag(Unit[[#This Row],[Obj]])</f>
        <v>HVAC_SU01B</v>
      </c>
      <c r="E4" t="str">
        <f>SUBSTITUTE(SUBSTITUTE(Unit[[#This Row],[RealTag]],"-","_"),"-","_")</f>
        <v>SU01B</v>
      </c>
      <c r="F4" t="str">
        <f>"_" &amp; Unit[[#This Row],[Obj]]</f>
        <v>_SU01B</v>
      </c>
      <c r="G4" t="s">
        <v>0</v>
      </c>
      <c r="H4">
        <f t="shared" si="0"/>
        <v>2</v>
      </c>
      <c r="I4" t="s">
        <v>1585</v>
      </c>
      <c r="J4" t="s">
        <v>3367</v>
      </c>
      <c r="K4" t="str">
        <f>SUBSTITUTE(HMIPATH_Unit,"$",Unit[[#This Row],[ID]])</f>
        <v>ObjUnit.InOut[2]</v>
      </c>
      <c r="L4" t="str" cm="1">
        <f t="array" ref="L4">MUXUnit(Unit[[#This Row],[Obj]],Unit[[#This Row],[SubSystem]])</f>
        <v xml:space="preserve">#SU01B(Object := "HVAC_SU01B".SU01B.InOut,
               InOut := "ObjUnit".InOut[#_SU01B]);
</v>
      </c>
    </row>
    <row r="5" spans="1:12" x14ac:dyDescent="0.3">
      <c r="A5" t="s">
        <v>1495</v>
      </c>
      <c r="B5" t="s">
        <v>1621</v>
      </c>
      <c r="C5" s="3" t="s">
        <v>1442</v>
      </c>
      <c r="D5" t="str" cm="1">
        <f t="array" ref="D5">GetSystemFromTag(Unit[[#This Row],[Obj]])</f>
        <v>HVAC_SU01</v>
      </c>
      <c r="E5" t="str">
        <f>SUBSTITUTE(SUBSTITUTE(Unit[[#This Row],[RealTag]],"-","_"),"-","_")</f>
        <v>DECONTA_SU01</v>
      </c>
      <c r="F5" t="str">
        <f>"_" &amp; Unit[[#This Row],[Obj]]</f>
        <v>_DECONTA_SU01</v>
      </c>
      <c r="G5" t="s">
        <v>0</v>
      </c>
      <c r="H5">
        <f t="shared" ref="H5:H6" si="1">ROW()-2</f>
        <v>3</v>
      </c>
      <c r="I5" t="s">
        <v>1585</v>
      </c>
      <c r="J5" t="s">
        <v>3367</v>
      </c>
      <c r="K5" t="str">
        <f>SUBSTITUTE(HMIPATH_Unit,"$",Unit[[#This Row],[ID]])</f>
        <v>ObjUnit.InOut[3]</v>
      </c>
      <c r="L5" t="str" cm="1">
        <f t="array" ref="L5">MUXUnit(Unit[[#This Row],[Obj]],Unit[[#This Row],[SubSystem]])</f>
        <v xml:space="preserve">#DECONTA_SU01(Object := "HVAC_SU01".DECONTA_SU01.InOut,
               InOut := "ObjUnit".InOut[#_DECONTA_SU01]);
</v>
      </c>
    </row>
    <row r="6" spans="1:12" x14ac:dyDescent="0.3">
      <c r="A6" t="s">
        <v>1495</v>
      </c>
      <c r="B6" t="s">
        <v>1622</v>
      </c>
      <c r="C6" s="3" t="s">
        <v>1443</v>
      </c>
      <c r="D6" t="str" cm="1">
        <f t="array" ref="D6">GetSystemFromTag(Unit[[#This Row],[Obj]])</f>
        <v>HVAC_SU01B</v>
      </c>
      <c r="E6" t="str">
        <f>SUBSTITUTE(SUBSTITUTE(Unit[[#This Row],[RealTag]],"-","_"),"-","_")</f>
        <v>DECONTA_SU01B</v>
      </c>
      <c r="F6" t="str">
        <f>"_" &amp; Unit[[#This Row],[Obj]]</f>
        <v>_DECONTA_SU01B</v>
      </c>
      <c r="G6" t="s">
        <v>0</v>
      </c>
      <c r="H6">
        <f t="shared" si="1"/>
        <v>4</v>
      </c>
      <c r="I6" t="s">
        <v>1585</v>
      </c>
      <c r="J6" t="s">
        <v>3367</v>
      </c>
      <c r="K6" t="str">
        <f>SUBSTITUTE(HMIPATH_Unit,"$",Unit[[#This Row],[ID]])</f>
        <v>ObjUnit.InOut[4]</v>
      </c>
      <c r="L6" t="str" cm="1">
        <f t="array" ref="L6">MUXUnit(Unit[[#This Row],[Obj]],Unit[[#This Row],[SubSystem]])</f>
        <v xml:space="preserve">#DECONTA_SU01B(Object := "HVAC_SU01B".DECONTA_SU01B.InOut,
               InOut := "ObjUnit".InOut[#_DECONTA_SU01B]);
</v>
      </c>
    </row>
    <row r="7" spans="1:12" x14ac:dyDescent="0.3">
      <c r="C7" s="3"/>
    </row>
    <row r="8" spans="1:12" x14ac:dyDescent="0.3">
      <c r="C8" s="3"/>
    </row>
    <row r="9" spans="1:12" x14ac:dyDescent="0.3">
      <c r="C9" s="3"/>
    </row>
    <row r="10" spans="1:12" x14ac:dyDescent="0.3">
      <c r="C10" s="3"/>
    </row>
    <row r="11" spans="1:12" x14ac:dyDescent="0.3">
      <c r="C11" s="3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9222E-4347-4942-B802-14C456571FC4}">
  <sheetPr codeName="Sheet17">
    <tabColor theme="4" tint="-0.499984740745262"/>
  </sheetPr>
  <dimension ref="A1:L36"/>
  <sheetViews>
    <sheetView workbookViewId="0">
      <selection activeCell="G20" sqref="G19:G20"/>
    </sheetView>
  </sheetViews>
  <sheetFormatPr defaultRowHeight="16.5" x14ac:dyDescent="0.3"/>
  <cols>
    <col min="1" max="1" width="17.375" bestFit="1" customWidth="1"/>
    <col min="2" max="2" width="20.125" bestFit="1" customWidth="1"/>
    <col min="3" max="3" width="9.5" bestFit="1" customWidth="1"/>
    <col min="4" max="4" width="20.125" bestFit="1" customWidth="1"/>
    <col min="5" max="5" width="20.875" bestFit="1" customWidth="1"/>
    <col min="6" max="6" width="22.625" customWidth="1"/>
    <col min="7" max="7" width="5.125" bestFit="1" customWidth="1"/>
    <col min="8" max="8" width="16.375" bestFit="1" customWidth="1"/>
    <col min="9" max="9" width="6.375" bestFit="1" customWidth="1"/>
    <col min="10" max="10" width="40.75" bestFit="1" customWidth="1"/>
  </cols>
  <sheetData>
    <row r="1" spans="1:12" x14ac:dyDescent="0.3">
      <c r="A1" t="s">
        <v>141</v>
      </c>
      <c r="B1" t="s">
        <v>7</v>
      </c>
      <c r="C1" s="3" t="s">
        <v>132</v>
      </c>
      <c r="D1" s="3" t="s">
        <v>1609</v>
      </c>
      <c r="E1" t="s">
        <v>5</v>
      </c>
      <c r="F1" t="s">
        <v>2</v>
      </c>
      <c r="G1" t="s">
        <v>3</v>
      </c>
      <c r="H1" t="s">
        <v>4</v>
      </c>
      <c r="I1" t="s">
        <v>31</v>
      </c>
      <c r="J1" t="s">
        <v>34</v>
      </c>
      <c r="K1" t="s">
        <v>32</v>
      </c>
      <c r="L1" t="s">
        <v>879</v>
      </c>
    </row>
    <row r="2" spans="1:12" x14ac:dyDescent="0.3">
      <c r="A2" t="s">
        <v>1496</v>
      </c>
      <c r="B2" t="str">
        <f>SUBSTITUTE(TempManager[[#This Row],[Obj]],"_","-")</f>
        <v>SPARE-PWM-0</v>
      </c>
      <c r="C2" s="3"/>
      <c r="D2" t="str" cm="1">
        <f t="array" ref="D2">GetSystemFromTag(TempManager[[#This Row],[Obj]])</f>
        <v>N/A</v>
      </c>
      <c r="E2" t="str">
        <f>"SPARE_PWM_" &amp; TempManager[[#This Row],[ID]]</f>
        <v>SPARE_PWM_0</v>
      </c>
      <c r="F2" t="str">
        <f>"_" &amp; TempManager[[#This Row],[Obj]]</f>
        <v>_SPARE_PWM_0</v>
      </c>
      <c r="G2" t="s">
        <v>0</v>
      </c>
      <c r="H2">
        <f>ROW()-2</f>
        <v>0</v>
      </c>
      <c r="I2" t="s">
        <v>1585</v>
      </c>
      <c r="J2" t="s">
        <v>3367</v>
      </c>
      <c r="K2" t="str">
        <f>SUBSTITUTE(HMIPATH_TempManager,"$",TempManager[[#This Row],[ID]])</f>
        <v>ObjTempManager.InOut[0]</v>
      </c>
      <c r="L2" t="str" cm="1">
        <f t="array" ref="L2">MUXTempManager(TempManager[[#This Row],[Obj]],TempManager[[#This Row],[SubSystem]],TempManager[[#This Row],[SubSystem]])</f>
        <v/>
      </c>
    </row>
    <row r="3" spans="1:12" x14ac:dyDescent="0.3">
      <c r="A3" t="s">
        <v>1496</v>
      </c>
      <c r="B3" t="s">
        <v>3203</v>
      </c>
      <c r="C3" s="3" t="s">
        <v>1442</v>
      </c>
      <c r="D3" t="str" cm="1">
        <f t="array" ref="D3">GetSystemFromTag(TempManager[[#This Row],[Obj]])</f>
        <v>HVAC_SU01</v>
      </c>
      <c r="E3" t="str">
        <f>SUBSTITUTE(SUBSTITUTE(TempManager[[#This Row],[RealTag]],"-","_"),"-","_")</f>
        <v>TM_SU01_001</v>
      </c>
      <c r="F3" t="str">
        <f>"_" &amp; TempManager[[#This Row],[Obj]]</f>
        <v>_TM_SU01_001</v>
      </c>
      <c r="G3" t="s">
        <v>0</v>
      </c>
      <c r="H3">
        <f t="shared" ref="H3:H13" si="0">ROW()-2</f>
        <v>1</v>
      </c>
      <c r="I3" t="s">
        <v>1585</v>
      </c>
      <c r="J3" t="s">
        <v>3367</v>
      </c>
      <c r="K3" t="str">
        <f>SUBSTITUTE(HMIPATH_TempManager,"$",TempManager[[#This Row],[ID]])</f>
        <v>ObjTempManager.InOut[1]</v>
      </c>
      <c r="L3" t="str" cm="1">
        <f t="array" ref="L3">MUXTempManager(TempManager[[#This Row],[Obj]],TempManager[[#This Row],[SubSystem]],TempManager[[#This Row],[SubSystem]])</f>
        <v xml:space="preserve">#TM_SU01_001(Object := "HVAC_SU01".TM_SU01_001.InOut,
               InOut := "ObjTempManager".InOut[#_TM_SU01_001]);
</v>
      </c>
    </row>
    <row r="4" spans="1:12" x14ac:dyDescent="0.3">
      <c r="A4" t="s">
        <v>1496</v>
      </c>
      <c r="B4" t="s">
        <v>1522</v>
      </c>
      <c r="C4" s="3" t="s">
        <v>1442</v>
      </c>
      <c r="D4" t="str" cm="1">
        <f t="array" ref="D4">GetSystemFromTag(TempManager[[#This Row],[Obj]])</f>
        <v>HVAC_R00106</v>
      </c>
      <c r="E4" t="str">
        <f>SUBSTITUTE(SUBSTITUTE(TempManager[[#This Row],[RealTag]],"-","_"),"-","_")</f>
        <v>TM_00106_001</v>
      </c>
      <c r="F4" t="str">
        <f>"_" &amp; TempManager[[#This Row],[Obj]]</f>
        <v>_TM_00106_001</v>
      </c>
      <c r="G4" t="s">
        <v>0</v>
      </c>
      <c r="H4">
        <f t="shared" si="0"/>
        <v>2</v>
      </c>
      <c r="I4" t="s">
        <v>1585</v>
      </c>
      <c r="J4" t="s">
        <v>3367</v>
      </c>
      <c r="K4" t="str">
        <f>SUBSTITUTE(HMIPATH_TempManager,"$",TempManager[[#This Row],[ID]])</f>
        <v>ObjTempManager.InOut[2]</v>
      </c>
      <c r="L4" t="str" cm="1">
        <f t="array" ref="L4">MUXTempManager(TempManager[[#This Row],[Obj]],TempManager[[#This Row],[SubSystem]],TempManager[[#This Row],[SubSystem]])</f>
        <v xml:space="preserve">#TM_00106_001(Object := "HVAC_R00106".TM_00106_001.InOut,
               InOut := "ObjTempManager".InOut[#_TM_00106_001]);
</v>
      </c>
    </row>
    <row r="5" spans="1:12" x14ac:dyDescent="0.3">
      <c r="A5" t="s">
        <v>1496</v>
      </c>
      <c r="B5" t="s">
        <v>1523</v>
      </c>
      <c r="C5" s="3" t="s">
        <v>1442</v>
      </c>
      <c r="D5" t="str" cm="1">
        <f t="array" ref="D5">GetSystemFromTag(TempManager[[#This Row],[Obj]])</f>
        <v>HVAC_R00107</v>
      </c>
      <c r="E5" t="str">
        <f>SUBSTITUTE(SUBSTITUTE(TempManager[[#This Row],[RealTag]],"-","_"),"-","_")</f>
        <v>TM_00107_001</v>
      </c>
      <c r="F5" t="str">
        <f>"_" &amp; TempManager[[#This Row],[Obj]]</f>
        <v>_TM_00107_001</v>
      </c>
      <c r="G5" t="s">
        <v>0</v>
      </c>
      <c r="H5">
        <f t="shared" si="0"/>
        <v>3</v>
      </c>
      <c r="I5" t="s">
        <v>1585</v>
      </c>
      <c r="J5" t="s">
        <v>3367</v>
      </c>
      <c r="K5" t="str">
        <f>SUBSTITUTE(HMIPATH_TempManager,"$",TempManager[[#This Row],[ID]])</f>
        <v>ObjTempManager.InOut[3]</v>
      </c>
      <c r="L5" t="str" cm="1">
        <f t="array" ref="L5">MUXTempManager(TempManager[[#This Row],[Obj]],TempManager[[#This Row],[SubSystem]],TempManager[[#This Row],[SubSystem]])</f>
        <v xml:space="preserve">#TM_00107_001(Object := "HVAC_R00107".TM_00107_001.InOut,
               InOut := "ObjTempManager".InOut[#_TM_00107_001]);
</v>
      </c>
    </row>
    <row r="6" spans="1:12" x14ac:dyDescent="0.3">
      <c r="A6" t="s">
        <v>1496</v>
      </c>
      <c r="B6" t="s">
        <v>1524</v>
      </c>
      <c r="C6" s="3" t="s">
        <v>1442</v>
      </c>
      <c r="D6" t="str" cm="1">
        <f t="array" ref="D6">GetSystemFromTag(TempManager[[#This Row],[Obj]])</f>
        <v>HVAC_R00108</v>
      </c>
      <c r="E6" t="str">
        <f>SUBSTITUTE(SUBSTITUTE(TempManager[[#This Row],[RealTag]],"-","_"),"-","_")</f>
        <v>TM_00108_001</v>
      </c>
      <c r="F6" t="str">
        <f>"_" &amp; TempManager[[#This Row],[Obj]]</f>
        <v>_TM_00108_001</v>
      </c>
      <c r="G6" t="s">
        <v>0</v>
      </c>
      <c r="H6">
        <f t="shared" si="0"/>
        <v>4</v>
      </c>
      <c r="I6" t="s">
        <v>1585</v>
      </c>
      <c r="J6" t="s">
        <v>3367</v>
      </c>
      <c r="K6" t="str">
        <f>SUBSTITUTE(HMIPATH_TempManager,"$",TempManager[[#This Row],[ID]])</f>
        <v>ObjTempManager.InOut[4]</v>
      </c>
      <c r="L6" t="str" cm="1">
        <f t="array" ref="L6">MUXTempManager(TempManager[[#This Row],[Obj]],TempManager[[#This Row],[SubSystem]],TempManager[[#This Row],[SubSystem]])</f>
        <v xml:space="preserve">#TM_00108_001(Object := "HVAC_R00108".TM_00108_001.InOut,
               InOut := "ObjTempManager".InOut[#_TM_00108_001]);
</v>
      </c>
    </row>
    <row r="7" spans="1:12" x14ac:dyDescent="0.3">
      <c r="A7" t="s">
        <v>1496</v>
      </c>
      <c r="B7" t="s">
        <v>1525</v>
      </c>
      <c r="C7" s="3" t="s">
        <v>1442</v>
      </c>
      <c r="D7" t="str" cm="1">
        <f t="array" ref="D7">GetSystemFromTag(TempManager[[#This Row],[Obj]])</f>
        <v>HVAC_R00109</v>
      </c>
      <c r="E7" t="str">
        <f>SUBSTITUTE(SUBSTITUTE(TempManager[[#This Row],[RealTag]],"-","_"),"-","_")</f>
        <v>TM_00109_001</v>
      </c>
      <c r="F7" t="str">
        <f>"_" &amp; TempManager[[#This Row],[Obj]]</f>
        <v>_TM_00109_001</v>
      </c>
      <c r="G7" t="s">
        <v>0</v>
      </c>
      <c r="H7">
        <f t="shared" si="0"/>
        <v>5</v>
      </c>
      <c r="I7" t="s">
        <v>1585</v>
      </c>
      <c r="J7" t="s">
        <v>3367</v>
      </c>
      <c r="K7" t="str">
        <f>SUBSTITUTE(HMIPATH_TempManager,"$",TempManager[[#This Row],[ID]])</f>
        <v>ObjTempManager.InOut[5]</v>
      </c>
      <c r="L7" t="str" cm="1">
        <f t="array" ref="L7">MUXTempManager(TempManager[[#This Row],[Obj]],TempManager[[#This Row],[SubSystem]],TempManager[[#This Row],[SubSystem]])</f>
        <v xml:space="preserve">#TM_00109_001(Object := "HVAC_R00109".TM_00109_001.InOut,
               InOut := "ObjTempManager".InOut[#_TM_00109_001]);
</v>
      </c>
    </row>
    <row r="8" spans="1:12" x14ac:dyDescent="0.3">
      <c r="A8" t="s">
        <v>1496</v>
      </c>
      <c r="B8" t="s">
        <v>1526</v>
      </c>
      <c r="C8" s="3" t="s">
        <v>1442</v>
      </c>
      <c r="D8" t="str" cm="1">
        <f t="array" ref="D8">GetSystemFromTag(TempManager[[#This Row],[Obj]])</f>
        <v>HVAC_R00110</v>
      </c>
      <c r="E8" t="str">
        <f>SUBSTITUTE(SUBSTITUTE(TempManager[[#This Row],[RealTag]],"-","_"),"-","_")</f>
        <v>TM_00110_001</v>
      </c>
      <c r="F8" t="str">
        <f>"_" &amp; TempManager[[#This Row],[Obj]]</f>
        <v>_TM_00110_001</v>
      </c>
      <c r="G8" t="s">
        <v>0</v>
      </c>
      <c r="H8">
        <f t="shared" si="0"/>
        <v>6</v>
      </c>
      <c r="I8" t="s">
        <v>1585</v>
      </c>
      <c r="J8" t="s">
        <v>3367</v>
      </c>
      <c r="K8" t="str">
        <f>SUBSTITUTE(HMIPATH_TempManager,"$",TempManager[[#This Row],[ID]])</f>
        <v>ObjTempManager.InOut[6]</v>
      </c>
      <c r="L8" t="str" cm="1">
        <f t="array" ref="L8">MUXTempManager(TempManager[[#This Row],[Obj]],TempManager[[#This Row],[SubSystem]],TempManager[[#This Row],[SubSystem]])</f>
        <v xml:space="preserve">#TM_00110_001(Object := "HVAC_R00110".TM_00110_001.InOut,
               InOut := "ObjTempManager".InOut[#_TM_00110_001]);
</v>
      </c>
    </row>
    <row r="9" spans="1:12" x14ac:dyDescent="0.3">
      <c r="A9" t="s">
        <v>1496</v>
      </c>
      <c r="B9" t="s">
        <v>1527</v>
      </c>
      <c r="C9" s="3" t="s">
        <v>1442</v>
      </c>
      <c r="D9" t="str" cm="1">
        <f t="array" ref="D9">GetSystemFromTag(TempManager[[#This Row],[Obj]])</f>
        <v>HVAC_R00111</v>
      </c>
      <c r="E9" t="str">
        <f>SUBSTITUTE(SUBSTITUTE(TempManager[[#This Row],[RealTag]],"-","_"),"-","_")</f>
        <v>TM_00111_001</v>
      </c>
      <c r="F9" t="str">
        <f>"_" &amp; TempManager[[#This Row],[Obj]]</f>
        <v>_TM_00111_001</v>
      </c>
      <c r="G9" t="s">
        <v>0</v>
      </c>
      <c r="H9">
        <f t="shared" si="0"/>
        <v>7</v>
      </c>
      <c r="I9" t="s">
        <v>1585</v>
      </c>
      <c r="J9" t="s">
        <v>3367</v>
      </c>
      <c r="K9" t="str">
        <f>SUBSTITUTE(HMIPATH_TempManager,"$",TempManager[[#This Row],[ID]])</f>
        <v>ObjTempManager.InOut[7]</v>
      </c>
      <c r="L9" t="str" cm="1">
        <f t="array" ref="L9">MUXTempManager(TempManager[[#This Row],[Obj]],TempManager[[#This Row],[SubSystem]],TempManager[[#This Row],[SubSystem]])</f>
        <v xml:space="preserve">#TM_00111_001(Object := "HVAC_R00111".TM_00111_001.InOut,
               InOut := "ObjTempManager".InOut[#_TM_00111_001]);
</v>
      </c>
    </row>
    <row r="10" spans="1:12" x14ac:dyDescent="0.3">
      <c r="A10" t="s">
        <v>1496</v>
      </c>
      <c r="B10" t="s">
        <v>1623</v>
      </c>
      <c r="C10" s="3" t="s">
        <v>1443</v>
      </c>
      <c r="D10" t="str" cm="1">
        <f t="array" ref="D10">GetSystemFromTag(TempManager[[#This Row],[Obj]])</f>
        <v>HVAC_SU01B</v>
      </c>
      <c r="E10" t="str">
        <f>SUBSTITUTE(SUBSTITUTE(TempManager[[#This Row],[RealTag]],"-","_"),"-","_")</f>
        <v>TM_SU01B_001</v>
      </c>
      <c r="F10" t="str">
        <f>"_" &amp; TempManager[[#This Row],[Obj]]</f>
        <v>_TM_SU01B_001</v>
      </c>
      <c r="G10" t="s">
        <v>0</v>
      </c>
      <c r="H10">
        <f t="shared" si="0"/>
        <v>8</v>
      </c>
      <c r="I10" t="s">
        <v>1585</v>
      </c>
      <c r="J10" t="s">
        <v>3367</v>
      </c>
      <c r="K10" t="str">
        <f>SUBSTITUTE(HMIPATH_TempManager,"$",TempManager[[#This Row],[ID]])</f>
        <v>ObjTempManager.InOut[8]</v>
      </c>
      <c r="L10" t="str" cm="1">
        <f t="array" ref="L10">MUXTempManager(TempManager[[#This Row],[Obj]],TempManager[[#This Row],[SubSystem]],TempManager[[#This Row],[SubSystem]])</f>
        <v xml:space="preserve">#TM_SU01B_001(Object := "HVAC_SU01B".TM_SU01B_001.InOut,
               InOut := "ObjTempManager".InOut[#_TM_SU01B_001]);
</v>
      </c>
    </row>
    <row r="11" spans="1:12" x14ac:dyDescent="0.3">
      <c r="A11" t="s">
        <v>1496</v>
      </c>
      <c r="B11" t="s">
        <v>2690</v>
      </c>
      <c r="C11" s="3" t="s">
        <v>1442</v>
      </c>
      <c r="D11" t="str" cm="1">
        <f t="array" ref="D11">GetSystemFromTag(TempManager[[#This Row],[Obj]])</f>
        <v>HVAC_R00103</v>
      </c>
      <c r="E11" t="str">
        <f>SUBSTITUTE(SUBSTITUTE(TempManager[[#This Row],[RealTag]],"-","_"),"-","_")</f>
        <v>TM_00103_001</v>
      </c>
      <c r="F11" t="str">
        <f>"_" &amp; TempManager[[#This Row],[Obj]]</f>
        <v>_TM_00103_001</v>
      </c>
      <c r="G11" t="s">
        <v>0</v>
      </c>
      <c r="H11">
        <f t="shared" si="0"/>
        <v>9</v>
      </c>
      <c r="I11" t="s">
        <v>1585</v>
      </c>
      <c r="J11" t="s">
        <v>3367</v>
      </c>
      <c r="K11" t="str">
        <f>SUBSTITUTE(HMIPATH_TempManager,"$",TempManager[[#This Row],[ID]])</f>
        <v>ObjTempManager.InOut[9]</v>
      </c>
      <c r="L11" t="str" cm="1">
        <f t="array" ref="L11">MUXTempManager(TempManager[[#This Row],[Obj]],TempManager[[#This Row],[SubSystem]],TempManager[[#This Row],[SubSystem]])</f>
        <v xml:space="preserve">#TM_00103_001(Object := "HVAC_R00103".TM_00103_001.InOut,
               InOut := "ObjTempManager".InOut[#_TM_00103_001]);
</v>
      </c>
    </row>
    <row r="12" spans="1:12" x14ac:dyDescent="0.3">
      <c r="A12" t="s">
        <v>1496</v>
      </c>
      <c r="B12" t="s">
        <v>1624</v>
      </c>
      <c r="C12" s="3" t="s">
        <v>1442</v>
      </c>
      <c r="D12" t="str" cm="1">
        <f t="array" ref="D12">GetSystemFromTag(TempManager[[#This Row],[Obj]])</f>
        <v>HVAC_R00104</v>
      </c>
      <c r="E12" t="str">
        <f>SUBSTITUTE(SUBSTITUTE(TempManager[[#This Row],[RealTag]],"-","_"),"-","_")</f>
        <v>TM_00104_001</v>
      </c>
      <c r="F12" t="str">
        <f>"_" &amp; TempManager[[#This Row],[Obj]]</f>
        <v>_TM_00104_001</v>
      </c>
      <c r="G12" t="s">
        <v>0</v>
      </c>
      <c r="H12">
        <f t="shared" si="0"/>
        <v>10</v>
      </c>
      <c r="I12" t="s">
        <v>1585</v>
      </c>
      <c r="J12" t="s">
        <v>3367</v>
      </c>
      <c r="K12" t="str">
        <f>SUBSTITUTE(HMIPATH_TempManager,"$",TempManager[[#This Row],[ID]])</f>
        <v>ObjTempManager.InOut[10]</v>
      </c>
      <c r="L12" t="str" cm="1">
        <f t="array" ref="L12">MUXTempManager(TempManager[[#This Row],[Obj]],TempManager[[#This Row],[SubSystem]],TempManager[[#This Row],[SubSystem]])</f>
        <v xml:space="preserve">#TM_00104_001(Object := "HVAC_R00104".TM_00104_001.InOut,
               InOut := "ObjTempManager".InOut[#_TM_00104_001]);
</v>
      </c>
    </row>
    <row r="13" spans="1:12" x14ac:dyDescent="0.3">
      <c r="A13" t="s">
        <v>1496</v>
      </c>
      <c r="B13" t="s">
        <v>1625</v>
      </c>
      <c r="C13" s="3" t="s">
        <v>1442</v>
      </c>
      <c r="D13" t="str" cm="1">
        <f t="array" ref="D13">GetSystemFromTag(TempManager[[#This Row],[Obj]])</f>
        <v>HVAC_R00115</v>
      </c>
      <c r="E13" t="str">
        <f>SUBSTITUTE(SUBSTITUTE(TempManager[[#This Row],[RealTag]],"-","_"),"-","_")</f>
        <v>TM_00115_001</v>
      </c>
      <c r="F13" t="str">
        <f>"_" &amp; TempManager[[#This Row],[Obj]]</f>
        <v>_TM_00115_001</v>
      </c>
      <c r="G13" t="s">
        <v>0</v>
      </c>
      <c r="H13">
        <f t="shared" si="0"/>
        <v>11</v>
      </c>
      <c r="I13" t="s">
        <v>1585</v>
      </c>
      <c r="J13" t="s">
        <v>3367</v>
      </c>
      <c r="K13" t="str">
        <f>SUBSTITUTE(HMIPATH_TempManager,"$",TempManager[[#This Row],[ID]])</f>
        <v>ObjTempManager.InOut[11]</v>
      </c>
      <c r="L13" t="str" cm="1">
        <f t="array" ref="L13">MUXTempManager(TempManager[[#This Row],[Obj]],TempManager[[#This Row],[SubSystem]],TempManager[[#This Row],[SubSystem]])</f>
        <v xml:space="preserve">#TM_00115_001(Object := "HVAC_R00115".TM_00115_001.InOut,
               InOut := "ObjTempManager".InOut[#_TM_00115_001]);
</v>
      </c>
    </row>
    <row r="14" spans="1:12" x14ac:dyDescent="0.3">
      <c r="C14" s="3"/>
      <c r="D14" s="3"/>
    </row>
    <row r="15" spans="1:12" x14ac:dyDescent="0.3">
      <c r="C15" s="3"/>
      <c r="D15" s="3"/>
    </row>
    <row r="16" spans="1:12" x14ac:dyDescent="0.3">
      <c r="C16" s="3"/>
      <c r="D16" s="3"/>
    </row>
    <row r="17" spans="3:4" x14ac:dyDescent="0.3">
      <c r="C17" s="3"/>
      <c r="D17" s="3"/>
    </row>
    <row r="18" spans="3:4" x14ac:dyDescent="0.3">
      <c r="C18" s="3"/>
      <c r="D18" s="3"/>
    </row>
    <row r="19" spans="3:4" x14ac:dyDescent="0.3">
      <c r="C19" s="3"/>
      <c r="D19" s="3"/>
    </row>
    <row r="20" spans="3:4" x14ac:dyDescent="0.3">
      <c r="C20" s="3"/>
      <c r="D20" s="3"/>
    </row>
    <row r="21" spans="3:4" x14ac:dyDescent="0.3">
      <c r="C21" s="3"/>
      <c r="D21" s="3"/>
    </row>
    <row r="22" spans="3:4" x14ac:dyDescent="0.3">
      <c r="C22" s="3"/>
      <c r="D22" s="3"/>
    </row>
    <row r="23" spans="3:4" x14ac:dyDescent="0.3">
      <c r="C23" s="3"/>
      <c r="D23" s="3"/>
    </row>
    <row r="24" spans="3:4" x14ac:dyDescent="0.3">
      <c r="C24" s="3"/>
      <c r="D24" s="3"/>
    </row>
    <row r="25" spans="3:4" x14ac:dyDescent="0.3">
      <c r="C25" s="3"/>
      <c r="D25" s="3"/>
    </row>
    <row r="26" spans="3:4" x14ac:dyDescent="0.3">
      <c r="C26" s="3"/>
      <c r="D26" s="3"/>
    </row>
    <row r="27" spans="3:4" x14ac:dyDescent="0.3">
      <c r="C27" s="3"/>
      <c r="D27" s="3"/>
    </row>
    <row r="28" spans="3:4" x14ac:dyDescent="0.3">
      <c r="C28" s="3"/>
      <c r="D28" s="3"/>
    </row>
    <row r="29" spans="3:4" x14ac:dyDescent="0.3">
      <c r="C29" s="3"/>
      <c r="D29" s="3"/>
    </row>
    <row r="30" spans="3:4" x14ac:dyDescent="0.3">
      <c r="C30" s="3"/>
      <c r="D30" s="3"/>
    </row>
    <row r="31" spans="3:4" x14ac:dyDescent="0.3">
      <c r="C31" s="3"/>
      <c r="D31" s="3"/>
    </row>
    <row r="32" spans="3:4" x14ac:dyDescent="0.3">
      <c r="C32" s="3"/>
      <c r="D32" s="3"/>
    </row>
    <row r="33" spans="3:4" x14ac:dyDescent="0.3">
      <c r="C33" s="3"/>
      <c r="D33" s="3"/>
    </row>
    <row r="34" spans="3:4" x14ac:dyDescent="0.3">
      <c r="C34" s="3"/>
      <c r="D34" s="3"/>
    </row>
    <row r="35" spans="3:4" x14ac:dyDescent="0.3">
      <c r="C35" s="3"/>
      <c r="D35" s="3"/>
    </row>
    <row r="36" spans="3:4" x14ac:dyDescent="0.3">
      <c r="C36" s="3"/>
      <c r="D36" s="3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1892-63EF-4861-8F91-4F56FC468612}">
  <sheetPr codeName="Sheet2">
    <tabColor theme="5" tint="-0.499984740745262"/>
  </sheetPr>
  <dimension ref="A1:K35"/>
  <sheetViews>
    <sheetView topLeftCell="B1" workbookViewId="0">
      <selection activeCell="C2" sqref="C2"/>
    </sheetView>
  </sheetViews>
  <sheetFormatPr defaultColWidth="76.375" defaultRowHeight="16.5" x14ac:dyDescent="0.3"/>
  <sheetData>
    <row r="1" spans="1:11" x14ac:dyDescent="0.3">
      <c r="D1" s="2" t="s">
        <v>17</v>
      </c>
    </row>
    <row r="2" spans="1:11" ht="132" x14ac:dyDescent="0.3">
      <c r="A2" s="1" t="s">
        <v>191</v>
      </c>
      <c r="B2" s="1" t="s">
        <v>192</v>
      </c>
      <c r="C2" s="1" t="s">
        <v>3368</v>
      </c>
      <c r="D2" s="1" t="s">
        <v>190</v>
      </c>
      <c r="E2" s="1" t="s">
        <v>204</v>
      </c>
      <c r="F2" s="1" t="s">
        <v>191</v>
      </c>
      <c r="G2" s="1" t="s">
        <v>194</v>
      </c>
      <c r="H2" s="1" t="s">
        <v>257</v>
      </c>
      <c r="I2" s="1" t="s">
        <v>156</v>
      </c>
    </row>
    <row r="3" spans="1:11" x14ac:dyDescent="0.3">
      <c r="A3" t="s">
        <v>152</v>
      </c>
      <c r="B3" t="s">
        <v>153</v>
      </c>
      <c r="C3" t="s">
        <v>147</v>
      </c>
      <c r="D3" t="s">
        <v>148</v>
      </c>
      <c r="E3" t="s">
        <v>1485</v>
      </c>
      <c r="F3" t="s">
        <v>149</v>
      </c>
      <c r="G3" t="s">
        <v>150</v>
      </c>
      <c r="H3" t="s">
        <v>151</v>
      </c>
      <c r="I3" t="s">
        <v>159</v>
      </c>
    </row>
    <row r="4" spans="1:11" ht="82.5" x14ac:dyDescent="0.3">
      <c r="A4" s="1" t="s">
        <v>914</v>
      </c>
      <c r="B4" s="1" t="s">
        <v>913</v>
      </c>
      <c r="C4" s="1" t="s">
        <v>914</v>
      </c>
      <c r="D4" s="1" t="s">
        <v>913</v>
      </c>
      <c r="E4" s="1" t="s">
        <v>913</v>
      </c>
      <c r="F4" s="1" t="s">
        <v>914</v>
      </c>
      <c r="G4" s="1" t="s">
        <v>914</v>
      </c>
      <c r="J4" s="1" t="s">
        <v>2689</v>
      </c>
      <c r="K4" s="1" t="s">
        <v>2689</v>
      </c>
    </row>
    <row r="11" spans="1:11" ht="66" x14ac:dyDescent="0.3">
      <c r="A11" s="1" t="s">
        <v>163</v>
      </c>
      <c r="B11" s="1" t="s">
        <v>203</v>
      </c>
      <c r="E11" t="s">
        <v>193</v>
      </c>
    </row>
    <row r="12" spans="1:11" x14ac:dyDescent="0.3">
      <c r="A12" t="s">
        <v>188</v>
      </c>
    </row>
    <row r="13" spans="1:11" ht="165" x14ac:dyDescent="0.3">
      <c r="A13" t="s">
        <v>189</v>
      </c>
      <c r="G13" s="1" t="s">
        <v>196</v>
      </c>
    </row>
    <row r="14" spans="1:11" ht="49.5" x14ac:dyDescent="0.3">
      <c r="G14" s="1" t="s">
        <v>198</v>
      </c>
    </row>
    <row r="15" spans="1:11" ht="49.5" x14ac:dyDescent="0.3">
      <c r="G15" s="1" t="s">
        <v>200</v>
      </c>
    </row>
    <row r="24" spans="1:1" x14ac:dyDescent="0.3">
      <c r="A24" t="s">
        <v>3145</v>
      </c>
    </row>
    <row r="25" spans="1:1" x14ac:dyDescent="0.3">
      <c r="A25" t="s">
        <v>3146</v>
      </c>
    </row>
    <row r="26" spans="1:1" x14ac:dyDescent="0.3">
      <c r="A26" t="s">
        <v>3147</v>
      </c>
    </row>
    <row r="27" spans="1:1" x14ac:dyDescent="0.3">
      <c r="A27" t="s">
        <v>3149</v>
      </c>
    </row>
    <row r="28" spans="1:1" x14ac:dyDescent="0.3">
      <c r="A28" t="s">
        <v>3148</v>
      </c>
    </row>
    <row r="29" spans="1:1" x14ac:dyDescent="0.3">
      <c r="A29" t="s">
        <v>3137</v>
      </c>
    </row>
    <row r="30" spans="1:1" x14ac:dyDescent="0.3">
      <c r="A30" t="s">
        <v>3150</v>
      </c>
    </row>
    <row r="31" spans="1:1" x14ac:dyDescent="0.3">
      <c r="A31" t="s">
        <v>3138</v>
      </c>
    </row>
    <row r="32" spans="1:1" x14ac:dyDescent="0.3">
      <c r="A32" t="s">
        <v>3141</v>
      </c>
    </row>
    <row r="33" spans="1:1" x14ac:dyDescent="0.3">
      <c r="A33" t="s">
        <v>3142</v>
      </c>
    </row>
    <row r="34" spans="1:1" x14ac:dyDescent="0.3">
      <c r="A34" t="s">
        <v>3143</v>
      </c>
    </row>
    <row r="35" spans="1:1" x14ac:dyDescent="0.3">
      <c r="A35" t="s">
        <v>3144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898F3-5AE3-4ED0-B11D-EE7656E638B1}">
  <sheetPr codeName="Sheet37">
    <tabColor theme="9" tint="-0.499984740745262"/>
  </sheetPr>
  <dimension ref="A1:H508"/>
  <sheetViews>
    <sheetView topLeftCell="A44" workbookViewId="0">
      <selection activeCell="A23" sqref="A23"/>
    </sheetView>
  </sheetViews>
  <sheetFormatPr defaultRowHeight="16.5" x14ac:dyDescent="0.3"/>
  <cols>
    <col min="1" max="1" width="50.625" bestFit="1" customWidth="1"/>
    <col min="2" max="2" width="11" bestFit="1" customWidth="1"/>
    <col min="3" max="3" width="18" bestFit="1" customWidth="1"/>
    <col min="4" max="4" width="33.375" bestFit="1" customWidth="1"/>
    <col min="5" max="5" width="22.5" bestFit="1" customWidth="1"/>
    <col min="6" max="6" width="39.125" bestFit="1" customWidth="1"/>
    <col min="7" max="7" width="81" bestFit="1" customWidth="1"/>
    <col min="8" max="8" width="11" bestFit="1" customWidth="1"/>
  </cols>
  <sheetData>
    <row r="1" spans="1:8" x14ac:dyDescent="0.3">
      <c r="A1" t="s">
        <v>1</v>
      </c>
      <c r="B1" t="s">
        <v>16</v>
      </c>
      <c r="C1" t="s">
        <v>197</v>
      </c>
      <c r="D1" t="s">
        <v>199</v>
      </c>
      <c r="E1" t="s">
        <v>201</v>
      </c>
      <c r="F1" t="s">
        <v>544</v>
      </c>
      <c r="G1" t="s">
        <v>545</v>
      </c>
      <c r="H1" t="s">
        <v>546</v>
      </c>
    </row>
    <row r="2" spans="1:8" hidden="1" x14ac:dyDescent="0.3">
      <c r="A2" t="s">
        <v>547</v>
      </c>
      <c r="B2" t="s">
        <v>548</v>
      </c>
      <c r="C2" t="s">
        <v>549</v>
      </c>
      <c r="D2" t="s">
        <v>550</v>
      </c>
      <c r="E2" t="s">
        <v>551</v>
      </c>
      <c r="F2" t="s">
        <v>552</v>
      </c>
      <c r="G2" t="s">
        <v>553</v>
      </c>
      <c r="H2" t="s">
        <v>554</v>
      </c>
    </row>
    <row r="3" spans="1:8" hidden="1" x14ac:dyDescent="0.3">
      <c r="A3" t="s">
        <v>555</v>
      </c>
    </row>
    <row r="4" spans="1:8" x14ac:dyDescent="0.3">
      <c r="A4" t="s">
        <v>556</v>
      </c>
      <c r="B4" t="s">
        <v>1442</v>
      </c>
      <c r="C4" t="s">
        <v>915</v>
      </c>
      <c r="D4" t="s">
        <v>916</v>
      </c>
      <c r="E4" t="s">
        <v>558</v>
      </c>
      <c r="F4" t="s">
        <v>559</v>
      </c>
      <c r="G4" t="s">
        <v>917</v>
      </c>
    </row>
    <row r="5" spans="1:8" x14ac:dyDescent="0.3">
      <c r="A5" t="s">
        <v>556</v>
      </c>
      <c r="B5" t="s">
        <v>1443</v>
      </c>
      <c r="C5" t="s">
        <v>918</v>
      </c>
      <c r="D5" t="s">
        <v>919</v>
      </c>
      <c r="E5" t="s">
        <v>558</v>
      </c>
      <c r="F5" t="s">
        <v>559</v>
      </c>
      <c r="G5" t="s">
        <v>917</v>
      </c>
    </row>
    <row r="6" spans="1:8" hidden="1" x14ac:dyDescent="0.3">
      <c r="A6" t="s">
        <v>562</v>
      </c>
    </row>
    <row r="7" spans="1:8" x14ac:dyDescent="0.3">
      <c r="A7" t="s">
        <v>563</v>
      </c>
      <c r="B7" t="s">
        <v>1442</v>
      </c>
      <c r="C7" t="s">
        <v>1450</v>
      </c>
      <c r="D7" t="s">
        <v>560</v>
      </c>
      <c r="E7" t="s">
        <v>558</v>
      </c>
      <c r="F7" t="s">
        <v>564</v>
      </c>
      <c r="G7" t="s">
        <v>565</v>
      </c>
    </row>
    <row r="8" spans="1:8" x14ac:dyDescent="0.3">
      <c r="A8" t="s">
        <v>563</v>
      </c>
      <c r="B8" t="s">
        <v>1442</v>
      </c>
      <c r="C8" t="s">
        <v>1451</v>
      </c>
      <c r="D8" t="s">
        <v>920</v>
      </c>
      <c r="E8" t="s">
        <v>558</v>
      </c>
      <c r="F8" t="s">
        <v>564</v>
      </c>
      <c r="G8" t="s">
        <v>565</v>
      </c>
    </row>
    <row r="9" spans="1:8" x14ac:dyDescent="0.3">
      <c r="A9" t="s">
        <v>563</v>
      </c>
      <c r="B9" t="s">
        <v>1442</v>
      </c>
      <c r="C9" t="s">
        <v>1452</v>
      </c>
      <c r="D9" t="s">
        <v>919</v>
      </c>
      <c r="E9" t="s">
        <v>558</v>
      </c>
      <c r="F9" t="s">
        <v>564</v>
      </c>
      <c r="G9" t="s">
        <v>565</v>
      </c>
    </row>
    <row r="10" spans="1:8" x14ac:dyDescent="0.3">
      <c r="A10" t="s">
        <v>563</v>
      </c>
      <c r="B10" t="s">
        <v>1443</v>
      </c>
      <c r="C10" t="s">
        <v>1453</v>
      </c>
      <c r="D10" t="s">
        <v>560</v>
      </c>
      <c r="E10" t="s">
        <v>558</v>
      </c>
      <c r="F10" t="s">
        <v>564</v>
      </c>
      <c r="G10" t="s">
        <v>565</v>
      </c>
    </row>
    <row r="11" spans="1:8" x14ac:dyDescent="0.3">
      <c r="A11" t="s">
        <v>563</v>
      </c>
      <c r="B11" t="s">
        <v>1443</v>
      </c>
      <c r="C11" t="s">
        <v>1454</v>
      </c>
      <c r="D11" t="s">
        <v>920</v>
      </c>
      <c r="E11" t="s">
        <v>558</v>
      </c>
      <c r="F11" t="s">
        <v>564</v>
      </c>
      <c r="G11" t="s">
        <v>565</v>
      </c>
    </row>
    <row r="12" spans="1:8" x14ac:dyDescent="0.3">
      <c r="A12" t="s">
        <v>563</v>
      </c>
      <c r="B12" t="s">
        <v>1442</v>
      </c>
      <c r="C12" t="s">
        <v>921</v>
      </c>
      <c r="D12" t="s">
        <v>916</v>
      </c>
      <c r="E12" t="s">
        <v>558</v>
      </c>
      <c r="F12" t="s">
        <v>564</v>
      </c>
      <c r="G12" t="s">
        <v>565</v>
      </c>
    </row>
    <row r="13" spans="1:8" x14ac:dyDescent="0.3">
      <c r="A13" t="s">
        <v>563</v>
      </c>
      <c r="B13" t="s">
        <v>1442</v>
      </c>
      <c r="C13" t="s">
        <v>922</v>
      </c>
      <c r="D13" t="s">
        <v>916</v>
      </c>
      <c r="E13" t="s">
        <v>558</v>
      </c>
      <c r="F13" t="s">
        <v>564</v>
      </c>
      <c r="G13" t="s">
        <v>565</v>
      </c>
    </row>
    <row r="14" spans="1:8" x14ac:dyDescent="0.3">
      <c r="A14" t="s">
        <v>563</v>
      </c>
      <c r="B14" t="s">
        <v>1442</v>
      </c>
      <c r="C14" t="s">
        <v>923</v>
      </c>
      <c r="D14" t="s">
        <v>924</v>
      </c>
      <c r="E14" t="s">
        <v>558</v>
      </c>
      <c r="F14" t="s">
        <v>564</v>
      </c>
      <c r="G14" t="s">
        <v>565</v>
      </c>
    </row>
    <row r="15" spans="1:8" x14ac:dyDescent="0.3">
      <c r="A15" t="s">
        <v>563</v>
      </c>
      <c r="B15" t="s">
        <v>1442</v>
      </c>
      <c r="C15" t="s">
        <v>925</v>
      </c>
      <c r="D15" t="s">
        <v>916</v>
      </c>
      <c r="E15" t="s">
        <v>558</v>
      </c>
      <c r="F15" t="s">
        <v>564</v>
      </c>
      <c r="G15" t="s">
        <v>565</v>
      </c>
    </row>
    <row r="16" spans="1:8" x14ac:dyDescent="0.3">
      <c r="A16" t="s">
        <v>563</v>
      </c>
      <c r="B16" t="s">
        <v>1442</v>
      </c>
      <c r="C16" t="s">
        <v>926</v>
      </c>
      <c r="D16" t="s">
        <v>924</v>
      </c>
      <c r="E16" t="s">
        <v>558</v>
      </c>
      <c r="F16" t="s">
        <v>564</v>
      </c>
      <c r="G16" t="s">
        <v>565</v>
      </c>
    </row>
    <row r="17" spans="1:7" x14ac:dyDescent="0.3">
      <c r="A17" t="s">
        <v>563</v>
      </c>
      <c r="B17" t="s">
        <v>1442</v>
      </c>
      <c r="C17" t="s">
        <v>927</v>
      </c>
      <c r="D17" t="s">
        <v>916</v>
      </c>
      <c r="E17" t="s">
        <v>558</v>
      </c>
      <c r="F17" t="s">
        <v>564</v>
      </c>
      <c r="G17" t="s">
        <v>565</v>
      </c>
    </row>
    <row r="18" spans="1:7" x14ac:dyDescent="0.3">
      <c r="A18" t="s">
        <v>563</v>
      </c>
      <c r="B18" t="s">
        <v>1442</v>
      </c>
      <c r="C18" t="s">
        <v>928</v>
      </c>
      <c r="D18" t="s">
        <v>924</v>
      </c>
      <c r="E18" t="s">
        <v>558</v>
      </c>
      <c r="F18" t="s">
        <v>564</v>
      </c>
      <c r="G18" t="s">
        <v>565</v>
      </c>
    </row>
    <row r="19" spans="1:7" x14ac:dyDescent="0.3">
      <c r="A19" t="s">
        <v>563</v>
      </c>
      <c r="B19" t="s">
        <v>1442</v>
      </c>
      <c r="C19" t="s">
        <v>929</v>
      </c>
      <c r="D19" t="s">
        <v>916</v>
      </c>
      <c r="E19" t="s">
        <v>558</v>
      </c>
      <c r="F19" t="s">
        <v>564</v>
      </c>
      <c r="G19" t="s">
        <v>565</v>
      </c>
    </row>
    <row r="20" spans="1:7" x14ac:dyDescent="0.3">
      <c r="A20" t="s">
        <v>563</v>
      </c>
      <c r="B20" t="s">
        <v>1442</v>
      </c>
      <c r="C20" t="s">
        <v>930</v>
      </c>
      <c r="D20" t="s">
        <v>924</v>
      </c>
      <c r="E20" t="s">
        <v>558</v>
      </c>
      <c r="F20" t="s">
        <v>564</v>
      </c>
      <c r="G20" t="s">
        <v>565</v>
      </c>
    </row>
    <row r="21" spans="1:7" x14ac:dyDescent="0.3">
      <c r="A21" t="s">
        <v>563</v>
      </c>
      <c r="B21" t="s">
        <v>1442</v>
      </c>
      <c r="C21" t="s">
        <v>931</v>
      </c>
      <c r="D21" t="s">
        <v>916</v>
      </c>
      <c r="E21" t="s">
        <v>558</v>
      </c>
      <c r="F21" t="s">
        <v>564</v>
      </c>
      <c r="G21" t="s">
        <v>565</v>
      </c>
    </row>
    <row r="22" spans="1:7" x14ac:dyDescent="0.3">
      <c r="A22" t="s">
        <v>563</v>
      </c>
      <c r="B22" t="s">
        <v>1442</v>
      </c>
      <c r="C22" t="s">
        <v>932</v>
      </c>
      <c r="D22" t="s">
        <v>924</v>
      </c>
      <c r="E22" t="s">
        <v>558</v>
      </c>
      <c r="F22" t="s">
        <v>564</v>
      </c>
      <c r="G22" t="s">
        <v>565</v>
      </c>
    </row>
    <row r="23" spans="1:7" x14ac:dyDescent="0.3">
      <c r="A23" t="s">
        <v>563</v>
      </c>
      <c r="B23" t="s">
        <v>1442</v>
      </c>
      <c r="C23" t="s">
        <v>933</v>
      </c>
      <c r="D23" t="s">
        <v>916</v>
      </c>
      <c r="E23" t="s">
        <v>558</v>
      </c>
      <c r="F23" t="s">
        <v>564</v>
      </c>
      <c r="G23" t="s">
        <v>565</v>
      </c>
    </row>
    <row r="24" spans="1:7" x14ac:dyDescent="0.3">
      <c r="A24" t="s">
        <v>563</v>
      </c>
      <c r="B24" t="s">
        <v>1442</v>
      </c>
      <c r="C24" t="s">
        <v>934</v>
      </c>
      <c r="D24" t="s">
        <v>924</v>
      </c>
      <c r="E24" t="s">
        <v>558</v>
      </c>
      <c r="F24" t="s">
        <v>564</v>
      </c>
      <c r="G24" t="s">
        <v>565</v>
      </c>
    </row>
    <row r="25" spans="1:7" x14ac:dyDescent="0.3">
      <c r="A25" t="s">
        <v>563</v>
      </c>
      <c r="B25" t="s">
        <v>1442</v>
      </c>
      <c r="C25" t="s">
        <v>935</v>
      </c>
      <c r="D25" t="s">
        <v>916</v>
      </c>
      <c r="E25" t="s">
        <v>558</v>
      </c>
      <c r="F25" t="s">
        <v>564</v>
      </c>
      <c r="G25" t="s">
        <v>565</v>
      </c>
    </row>
    <row r="26" spans="1:7" hidden="1" x14ac:dyDescent="0.3">
      <c r="A26" t="s">
        <v>568</v>
      </c>
    </row>
    <row r="27" spans="1:7" x14ac:dyDescent="0.3">
      <c r="A27" t="s">
        <v>569</v>
      </c>
      <c r="B27" t="s">
        <v>1442</v>
      </c>
      <c r="C27" t="s">
        <v>936</v>
      </c>
      <c r="D27" t="s">
        <v>570</v>
      </c>
      <c r="E27" t="s">
        <v>558</v>
      </c>
      <c r="F27" t="s">
        <v>571</v>
      </c>
      <c r="G27" t="s">
        <v>572</v>
      </c>
    </row>
    <row r="28" spans="1:7" x14ac:dyDescent="0.3">
      <c r="A28" t="s">
        <v>569</v>
      </c>
      <c r="B28" t="s">
        <v>1442</v>
      </c>
      <c r="C28" t="s">
        <v>937</v>
      </c>
      <c r="D28" t="s">
        <v>570</v>
      </c>
      <c r="E28" t="s">
        <v>558</v>
      </c>
      <c r="F28" t="s">
        <v>571</v>
      </c>
      <c r="G28" t="s">
        <v>572</v>
      </c>
    </row>
    <row r="29" spans="1:7" x14ac:dyDescent="0.3">
      <c r="A29" t="s">
        <v>569</v>
      </c>
      <c r="B29" t="s">
        <v>1442</v>
      </c>
      <c r="C29" t="s">
        <v>938</v>
      </c>
      <c r="D29" t="s">
        <v>560</v>
      </c>
      <c r="E29" t="s">
        <v>558</v>
      </c>
      <c r="F29" t="s">
        <v>573</v>
      </c>
      <c r="G29" t="s">
        <v>574</v>
      </c>
    </row>
    <row r="30" spans="1:7" x14ac:dyDescent="0.3">
      <c r="A30" t="s">
        <v>569</v>
      </c>
      <c r="B30" t="s">
        <v>1442</v>
      </c>
      <c r="C30" t="s">
        <v>939</v>
      </c>
      <c r="D30" t="s">
        <v>919</v>
      </c>
      <c r="E30" t="s">
        <v>558</v>
      </c>
      <c r="F30" t="s">
        <v>573</v>
      </c>
      <c r="G30" t="s">
        <v>574</v>
      </c>
    </row>
    <row r="31" spans="1:7" x14ac:dyDescent="0.3">
      <c r="A31" t="s">
        <v>569</v>
      </c>
      <c r="B31" t="s">
        <v>1442</v>
      </c>
      <c r="C31" t="s">
        <v>940</v>
      </c>
      <c r="D31" t="s">
        <v>575</v>
      </c>
      <c r="E31" t="s">
        <v>558</v>
      </c>
      <c r="F31" t="s">
        <v>571</v>
      </c>
      <c r="G31" t="s">
        <v>572</v>
      </c>
    </row>
    <row r="32" spans="1:7" x14ac:dyDescent="0.3">
      <c r="A32" t="s">
        <v>569</v>
      </c>
      <c r="B32" t="s">
        <v>1442</v>
      </c>
      <c r="C32" t="s">
        <v>941</v>
      </c>
      <c r="D32" t="s">
        <v>575</v>
      </c>
      <c r="E32" t="s">
        <v>558</v>
      </c>
      <c r="F32" t="s">
        <v>571</v>
      </c>
      <c r="G32" t="s">
        <v>572</v>
      </c>
    </row>
    <row r="33" spans="1:7" x14ac:dyDescent="0.3">
      <c r="A33" t="s">
        <v>569</v>
      </c>
      <c r="B33" t="s">
        <v>1443</v>
      </c>
      <c r="C33" t="s">
        <v>942</v>
      </c>
      <c r="D33" t="s">
        <v>570</v>
      </c>
      <c r="E33" t="s">
        <v>558</v>
      </c>
      <c r="F33" t="s">
        <v>571</v>
      </c>
      <c r="G33" t="s">
        <v>572</v>
      </c>
    </row>
    <row r="34" spans="1:7" x14ac:dyDescent="0.3">
      <c r="A34" t="s">
        <v>569</v>
      </c>
      <c r="B34" t="s">
        <v>1443</v>
      </c>
      <c r="C34" t="s">
        <v>943</v>
      </c>
      <c r="D34" t="s">
        <v>560</v>
      </c>
      <c r="E34" t="s">
        <v>558</v>
      </c>
      <c r="F34" t="s">
        <v>573</v>
      </c>
      <c r="G34" t="s">
        <v>574</v>
      </c>
    </row>
    <row r="35" spans="1:7" x14ac:dyDescent="0.3">
      <c r="A35" t="s">
        <v>569</v>
      </c>
      <c r="B35" t="s">
        <v>1443</v>
      </c>
      <c r="C35" t="s">
        <v>944</v>
      </c>
      <c r="D35" t="s">
        <v>919</v>
      </c>
      <c r="E35" t="s">
        <v>558</v>
      </c>
      <c r="F35" t="s">
        <v>573</v>
      </c>
      <c r="G35" t="s">
        <v>574</v>
      </c>
    </row>
    <row r="36" spans="1:7" x14ac:dyDescent="0.3">
      <c r="A36" t="s">
        <v>569</v>
      </c>
      <c r="B36" t="s">
        <v>1443</v>
      </c>
      <c r="C36" t="s">
        <v>945</v>
      </c>
      <c r="D36" t="s">
        <v>575</v>
      </c>
      <c r="E36" t="s">
        <v>558</v>
      </c>
      <c r="F36" t="s">
        <v>571</v>
      </c>
      <c r="G36" t="s">
        <v>572</v>
      </c>
    </row>
    <row r="37" spans="1:7" x14ac:dyDescent="0.3">
      <c r="A37" t="s">
        <v>569</v>
      </c>
      <c r="B37" t="s">
        <v>1442</v>
      </c>
      <c r="C37" t="s">
        <v>946</v>
      </c>
      <c r="D37" t="s">
        <v>947</v>
      </c>
      <c r="E37" t="s">
        <v>558</v>
      </c>
      <c r="F37" t="s">
        <v>573</v>
      </c>
      <c r="G37" t="s">
        <v>574</v>
      </c>
    </row>
    <row r="38" spans="1:7" x14ac:dyDescent="0.3">
      <c r="A38" t="s">
        <v>569</v>
      </c>
      <c r="B38" t="s">
        <v>1443</v>
      </c>
      <c r="C38" t="s">
        <v>948</v>
      </c>
      <c r="D38" t="s">
        <v>947</v>
      </c>
      <c r="E38" t="s">
        <v>558</v>
      </c>
      <c r="F38" t="s">
        <v>573</v>
      </c>
      <c r="G38" t="s">
        <v>574</v>
      </c>
    </row>
    <row r="39" spans="1:7" x14ac:dyDescent="0.3">
      <c r="A39" t="s">
        <v>569</v>
      </c>
      <c r="B39" t="s">
        <v>1442</v>
      </c>
      <c r="C39" t="s">
        <v>949</v>
      </c>
      <c r="D39" t="s">
        <v>570</v>
      </c>
      <c r="E39" t="s">
        <v>558</v>
      </c>
      <c r="F39" t="s">
        <v>950</v>
      </c>
      <c r="G39" t="s">
        <v>951</v>
      </c>
    </row>
    <row r="40" spans="1:7" x14ac:dyDescent="0.3">
      <c r="A40" t="s">
        <v>569</v>
      </c>
      <c r="B40" t="s">
        <v>1442</v>
      </c>
      <c r="C40" t="s">
        <v>952</v>
      </c>
      <c r="D40" t="s">
        <v>570</v>
      </c>
      <c r="E40" t="s">
        <v>558</v>
      </c>
      <c r="F40" t="s">
        <v>950</v>
      </c>
      <c r="G40" t="s">
        <v>951</v>
      </c>
    </row>
    <row r="41" spans="1:7" x14ac:dyDescent="0.3">
      <c r="A41" t="s">
        <v>569</v>
      </c>
      <c r="B41" t="s">
        <v>1442</v>
      </c>
      <c r="C41" t="s">
        <v>953</v>
      </c>
      <c r="D41" t="s">
        <v>570</v>
      </c>
      <c r="E41" t="s">
        <v>558</v>
      </c>
      <c r="F41" t="s">
        <v>950</v>
      </c>
      <c r="G41" t="s">
        <v>951</v>
      </c>
    </row>
    <row r="42" spans="1:7" x14ac:dyDescent="0.3">
      <c r="A42" t="s">
        <v>569</v>
      </c>
      <c r="B42" t="s">
        <v>1442</v>
      </c>
      <c r="C42" t="s">
        <v>954</v>
      </c>
      <c r="D42" t="s">
        <v>955</v>
      </c>
      <c r="E42" t="s">
        <v>558</v>
      </c>
      <c r="F42" t="s">
        <v>956</v>
      </c>
      <c r="G42" t="s">
        <v>957</v>
      </c>
    </row>
    <row r="43" spans="1:7" x14ac:dyDescent="0.3">
      <c r="A43" t="s">
        <v>569</v>
      </c>
      <c r="B43" t="s">
        <v>1442</v>
      </c>
      <c r="C43" t="s">
        <v>958</v>
      </c>
      <c r="D43" t="s">
        <v>955</v>
      </c>
      <c r="E43" t="s">
        <v>558</v>
      </c>
      <c r="F43" t="s">
        <v>956</v>
      </c>
      <c r="G43" t="s">
        <v>957</v>
      </c>
    </row>
    <row r="44" spans="1:7" x14ac:dyDescent="0.3">
      <c r="A44" t="s">
        <v>569</v>
      </c>
      <c r="B44" t="s">
        <v>1442</v>
      </c>
      <c r="C44" t="s">
        <v>959</v>
      </c>
      <c r="D44" t="s">
        <v>955</v>
      </c>
      <c r="E44" t="s">
        <v>558</v>
      </c>
      <c r="F44" t="s">
        <v>956</v>
      </c>
      <c r="G44" t="s">
        <v>957</v>
      </c>
    </row>
    <row r="45" spans="1:7" x14ac:dyDescent="0.3">
      <c r="A45" t="s">
        <v>569</v>
      </c>
      <c r="B45" t="s">
        <v>1442</v>
      </c>
      <c r="C45" t="s">
        <v>960</v>
      </c>
      <c r="D45" t="s">
        <v>955</v>
      </c>
      <c r="E45" t="s">
        <v>558</v>
      </c>
      <c r="F45" t="s">
        <v>956</v>
      </c>
      <c r="G45" t="s">
        <v>957</v>
      </c>
    </row>
    <row r="46" spans="1:7" x14ac:dyDescent="0.3">
      <c r="A46" t="s">
        <v>569</v>
      </c>
      <c r="B46" t="s">
        <v>1442</v>
      </c>
      <c r="C46" t="s">
        <v>961</v>
      </c>
      <c r="D46" t="s">
        <v>955</v>
      </c>
      <c r="E46" t="s">
        <v>558</v>
      </c>
      <c r="F46" t="s">
        <v>956</v>
      </c>
      <c r="G46" t="s">
        <v>957</v>
      </c>
    </row>
    <row r="47" spans="1:7" x14ac:dyDescent="0.3">
      <c r="A47" t="s">
        <v>569</v>
      </c>
      <c r="B47" t="s">
        <v>1442</v>
      </c>
      <c r="C47" t="s">
        <v>962</v>
      </c>
      <c r="D47" t="s">
        <v>955</v>
      </c>
      <c r="E47" t="s">
        <v>558</v>
      </c>
      <c r="F47" t="s">
        <v>956</v>
      </c>
      <c r="G47" t="s">
        <v>957</v>
      </c>
    </row>
    <row r="48" spans="1:7" x14ac:dyDescent="0.3">
      <c r="A48" t="s">
        <v>569</v>
      </c>
      <c r="B48" t="s">
        <v>1442</v>
      </c>
      <c r="C48" t="s">
        <v>963</v>
      </c>
      <c r="D48" t="s">
        <v>964</v>
      </c>
      <c r="E48" t="s">
        <v>558</v>
      </c>
      <c r="F48" t="s">
        <v>965</v>
      </c>
      <c r="G48" t="s">
        <v>966</v>
      </c>
    </row>
    <row r="49" spans="1:7" x14ac:dyDescent="0.3">
      <c r="A49" t="s">
        <v>569</v>
      </c>
      <c r="B49" t="s">
        <v>1442</v>
      </c>
      <c r="C49" t="s">
        <v>967</v>
      </c>
      <c r="D49" t="s">
        <v>955</v>
      </c>
      <c r="E49" t="s">
        <v>558</v>
      </c>
      <c r="F49" t="s">
        <v>956</v>
      </c>
      <c r="G49" t="s">
        <v>957</v>
      </c>
    </row>
    <row r="50" spans="1:7" x14ac:dyDescent="0.3">
      <c r="A50" t="s">
        <v>569</v>
      </c>
      <c r="B50" t="s">
        <v>1443</v>
      </c>
      <c r="C50" t="s">
        <v>968</v>
      </c>
      <c r="D50" t="s">
        <v>955</v>
      </c>
      <c r="E50" t="s">
        <v>558</v>
      </c>
      <c r="F50" t="s">
        <v>956</v>
      </c>
      <c r="G50" t="s">
        <v>957</v>
      </c>
    </row>
    <row r="51" spans="1:7" x14ac:dyDescent="0.3">
      <c r="A51" t="s">
        <v>569</v>
      </c>
      <c r="B51" t="s">
        <v>1442</v>
      </c>
      <c r="C51" t="s">
        <v>969</v>
      </c>
      <c r="D51" t="s">
        <v>955</v>
      </c>
      <c r="E51" t="s">
        <v>558</v>
      </c>
      <c r="F51" t="s">
        <v>956</v>
      </c>
      <c r="G51" t="s">
        <v>957</v>
      </c>
    </row>
    <row r="52" spans="1:7" x14ac:dyDescent="0.3">
      <c r="A52" t="s">
        <v>569</v>
      </c>
      <c r="B52" t="s">
        <v>1442</v>
      </c>
      <c r="C52" t="s">
        <v>970</v>
      </c>
      <c r="D52" t="s">
        <v>955</v>
      </c>
      <c r="E52" t="s">
        <v>558</v>
      </c>
      <c r="F52" t="s">
        <v>956</v>
      </c>
      <c r="G52" t="s">
        <v>957</v>
      </c>
    </row>
    <row r="53" spans="1:7" x14ac:dyDescent="0.3">
      <c r="A53" t="s">
        <v>569</v>
      </c>
      <c r="B53" t="s">
        <v>1442</v>
      </c>
      <c r="C53" t="s">
        <v>971</v>
      </c>
      <c r="D53" t="s">
        <v>955</v>
      </c>
      <c r="E53" t="s">
        <v>558</v>
      </c>
      <c r="F53" t="s">
        <v>956</v>
      </c>
      <c r="G53" t="s">
        <v>957</v>
      </c>
    </row>
    <row r="54" spans="1:7" x14ac:dyDescent="0.3">
      <c r="A54" t="s">
        <v>569</v>
      </c>
      <c r="B54" t="s">
        <v>1442</v>
      </c>
      <c r="C54" t="s">
        <v>972</v>
      </c>
      <c r="D54" t="s">
        <v>955</v>
      </c>
      <c r="E54" t="s">
        <v>558</v>
      </c>
      <c r="F54" t="s">
        <v>956</v>
      </c>
      <c r="G54" t="s">
        <v>957</v>
      </c>
    </row>
    <row r="55" spans="1:7" hidden="1" x14ac:dyDescent="0.3">
      <c r="A55" t="s">
        <v>576</v>
      </c>
    </row>
    <row r="56" spans="1:7" x14ac:dyDescent="0.3">
      <c r="A56" t="s">
        <v>577</v>
      </c>
      <c r="B56" t="s">
        <v>1442</v>
      </c>
      <c r="C56" t="s">
        <v>973</v>
      </c>
      <c r="D56" t="s">
        <v>974</v>
      </c>
      <c r="E56" t="s">
        <v>558</v>
      </c>
      <c r="F56" t="s">
        <v>580</v>
      </c>
      <c r="G56" t="s">
        <v>581</v>
      </c>
    </row>
    <row r="57" spans="1:7" x14ac:dyDescent="0.3">
      <c r="A57" t="s">
        <v>577</v>
      </c>
      <c r="B57" t="s">
        <v>1442</v>
      </c>
      <c r="C57" t="s">
        <v>975</v>
      </c>
      <c r="D57" t="s">
        <v>560</v>
      </c>
      <c r="E57" t="s">
        <v>558</v>
      </c>
      <c r="F57" t="s">
        <v>580</v>
      </c>
      <c r="G57" t="s">
        <v>581</v>
      </c>
    </row>
    <row r="58" spans="1:7" x14ac:dyDescent="0.3">
      <c r="A58" t="s">
        <v>577</v>
      </c>
      <c r="B58" t="s">
        <v>1443</v>
      </c>
      <c r="C58" t="s">
        <v>976</v>
      </c>
      <c r="D58" t="s">
        <v>974</v>
      </c>
      <c r="E58" t="s">
        <v>558</v>
      </c>
      <c r="F58" t="s">
        <v>580</v>
      </c>
      <c r="G58" t="s">
        <v>581</v>
      </c>
    </row>
    <row r="59" spans="1:7" x14ac:dyDescent="0.3">
      <c r="A59" t="s">
        <v>577</v>
      </c>
      <c r="B59" t="s">
        <v>1443</v>
      </c>
      <c r="C59" t="s">
        <v>977</v>
      </c>
      <c r="D59" t="s">
        <v>560</v>
      </c>
      <c r="E59" t="s">
        <v>558</v>
      </c>
      <c r="F59" t="s">
        <v>580</v>
      </c>
      <c r="G59" t="s">
        <v>581</v>
      </c>
    </row>
    <row r="60" spans="1:7" x14ac:dyDescent="0.3">
      <c r="A60" t="s">
        <v>577</v>
      </c>
      <c r="B60" t="s">
        <v>1442</v>
      </c>
      <c r="C60" t="s">
        <v>978</v>
      </c>
      <c r="D60" t="s">
        <v>955</v>
      </c>
      <c r="E60" t="s">
        <v>558</v>
      </c>
      <c r="F60" t="s">
        <v>578</v>
      </c>
      <c r="G60" t="s">
        <v>579</v>
      </c>
    </row>
    <row r="61" spans="1:7" x14ac:dyDescent="0.3">
      <c r="A61" t="s">
        <v>577</v>
      </c>
      <c r="B61" t="s">
        <v>1442</v>
      </c>
      <c r="C61" t="s">
        <v>979</v>
      </c>
      <c r="D61" t="s">
        <v>955</v>
      </c>
      <c r="E61" t="s">
        <v>558</v>
      </c>
      <c r="F61" t="s">
        <v>578</v>
      </c>
      <c r="G61" t="s">
        <v>579</v>
      </c>
    </row>
    <row r="62" spans="1:7" x14ac:dyDescent="0.3">
      <c r="A62" t="s">
        <v>577</v>
      </c>
      <c r="B62" t="s">
        <v>1443</v>
      </c>
      <c r="C62" t="s">
        <v>980</v>
      </c>
      <c r="D62" t="s">
        <v>955</v>
      </c>
      <c r="E62" t="s">
        <v>558</v>
      </c>
      <c r="F62" t="s">
        <v>578</v>
      </c>
      <c r="G62" t="s">
        <v>579</v>
      </c>
    </row>
    <row r="63" spans="1:7" x14ac:dyDescent="0.3">
      <c r="A63" t="s">
        <v>577</v>
      </c>
      <c r="B63" t="s">
        <v>1443</v>
      </c>
      <c r="C63" t="s">
        <v>981</v>
      </c>
      <c r="D63" t="s">
        <v>955</v>
      </c>
      <c r="E63" t="s">
        <v>558</v>
      </c>
      <c r="F63" t="s">
        <v>578</v>
      </c>
      <c r="G63" t="s">
        <v>579</v>
      </c>
    </row>
    <row r="64" spans="1:7" hidden="1" x14ac:dyDescent="0.3">
      <c r="A64" t="s">
        <v>582</v>
      </c>
    </row>
    <row r="65" spans="1:7" x14ac:dyDescent="0.3">
      <c r="A65" t="s">
        <v>583</v>
      </c>
      <c r="B65" t="s">
        <v>1442</v>
      </c>
      <c r="C65" t="s">
        <v>982</v>
      </c>
      <c r="D65" t="s">
        <v>584</v>
      </c>
      <c r="E65" t="s">
        <v>585</v>
      </c>
      <c r="F65" t="s">
        <v>586</v>
      </c>
      <c r="G65" t="s">
        <v>587</v>
      </c>
    </row>
    <row r="66" spans="1:7" x14ac:dyDescent="0.3">
      <c r="A66" t="s">
        <v>583</v>
      </c>
      <c r="B66" t="s">
        <v>1442</v>
      </c>
      <c r="C66" t="s">
        <v>983</v>
      </c>
      <c r="D66" t="s">
        <v>984</v>
      </c>
      <c r="E66" t="s">
        <v>585</v>
      </c>
      <c r="F66" t="s">
        <v>586</v>
      </c>
      <c r="G66" t="s">
        <v>587</v>
      </c>
    </row>
    <row r="67" spans="1:7" x14ac:dyDescent="0.3">
      <c r="A67" t="s">
        <v>583</v>
      </c>
      <c r="B67" t="s">
        <v>1442</v>
      </c>
      <c r="C67" t="s">
        <v>985</v>
      </c>
      <c r="D67" t="s">
        <v>984</v>
      </c>
      <c r="E67" t="s">
        <v>585</v>
      </c>
      <c r="F67" t="s">
        <v>586</v>
      </c>
      <c r="G67" t="s">
        <v>587</v>
      </c>
    </row>
    <row r="68" spans="1:7" x14ac:dyDescent="0.3">
      <c r="A68" t="s">
        <v>583</v>
      </c>
      <c r="B68" t="s">
        <v>1442</v>
      </c>
      <c r="C68" t="s">
        <v>986</v>
      </c>
      <c r="D68" t="s">
        <v>984</v>
      </c>
      <c r="E68" t="s">
        <v>585</v>
      </c>
      <c r="F68" t="s">
        <v>586</v>
      </c>
      <c r="G68" t="s">
        <v>587</v>
      </c>
    </row>
    <row r="69" spans="1:7" x14ac:dyDescent="0.3">
      <c r="A69" t="s">
        <v>583</v>
      </c>
      <c r="B69" t="s">
        <v>1442</v>
      </c>
      <c r="C69" t="s">
        <v>987</v>
      </c>
      <c r="D69" t="s">
        <v>988</v>
      </c>
      <c r="E69" t="s">
        <v>585</v>
      </c>
      <c r="F69" t="s">
        <v>586</v>
      </c>
      <c r="G69" t="s">
        <v>587</v>
      </c>
    </row>
    <row r="70" spans="1:7" x14ac:dyDescent="0.3">
      <c r="A70" t="s">
        <v>583</v>
      </c>
      <c r="B70" t="s">
        <v>1442</v>
      </c>
      <c r="C70" t="s">
        <v>989</v>
      </c>
      <c r="D70" t="s">
        <v>990</v>
      </c>
      <c r="E70" t="s">
        <v>585</v>
      </c>
      <c r="F70" t="s">
        <v>586</v>
      </c>
      <c r="G70" t="s">
        <v>587</v>
      </c>
    </row>
    <row r="71" spans="1:7" x14ac:dyDescent="0.3">
      <c r="A71" t="s">
        <v>583</v>
      </c>
      <c r="B71" t="s">
        <v>1442</v>
      </c>
      <c r="C71" t="s">
        <v>991</v>
      </c>
      <c r="D71" t="s">
        <v>992</v>
      </c>
      <c r="E71" t="s">
        <v>585</v>
      </c>
      <c r="F71" t="s">
        <v>586</v>
      </c>
      <c r="G71" t="s">
        <v>587</v>
      </c>
    </row>
    <row r="72" spans="1:7" x14ac:dyDescent="0.3">
      <c r="A72" t="s">
        <v>583</v>
      </c>
      <c r="B72" t="s">
        <v>1442</v>
      </c>
      <c r="C72" t="s">
        <v>993</v>
      </c>
      <c r="D72" t="s">
        <v>994</v>
      </c>
      <c r="E72" t="s">
        <v>585</v>
      </c>
      <c r="F72" t="s">
        <v>586</v>
      </c>
      <c r="G72" t="s">
        <v>587</v>
      </c>
    </row>
    <row r="73" spans="1:7" x14ac:dyDescent="0.3">
      <c r="A73" t="s">
        <v>583</v>
      </c>
      <c r="B73" t="s">
        <v>1442</v>
      </c>
      <c r="C73" t="s">
        <v>995</v>
      </c>
      <c r="D73" t="s">
        <v>996</v>
      </c>
      <c r="E73" t="s">
        <v>585</v>
      </c>
      <c r="F73" t="s">
        <v>586</v>
      </c>
      <c r="G73" t="s">
        <v>587</v>
      </c>
    </row>
    <row r="74" spans="1:7" x14ac:dyDescent="0.3">
      <c r="A74" t="s">
        <v>583</v>
      </c>
      <c r="B74" t="s">
        <v>1442</v>
      </c>
      <c r="C74" t="s">
        <v>997</v>
      </c>
      <c r="D74" t="s">
        <v>998</v>
      </c>
      <c r="E74" t="s">
        <v>585</v>
      </c>
      <c r="F74" t="s">
        <v>586</v>
      </c>
      <c r="G74" t="s">
        <v>587</v>
      </c>
    </row>
    <row r="75" spans="1:7" hidden="1" x14ac:dyDescent="0.3">
      <c r="A75" t="s">
        <v>588</v>
      </c>
    </row>
    <row r="76" spans="1:7" x14ac:dyDescent="0.3">
      <c r="A76" t="s">
        <v>589</v>
      </c>
      <c r="B76" t="s">
        <v>1442</v>
      </c>
      <c r="C76" t="s">
        <v>999</v>
      </c>
      <c r="D76" t="s">
        <v>590</v>
      </c>
      <c r="E76" t="s">
        <v>591</v>
      </c>
      <c r="F76" t="s">
        <v>1000</v>
      </c>
      <c r="G76" t="s">
        <v>592</v>
      </c>
    </row>
    <row r="77" spans="1:7" x14ac:dyDescent="0.3">
      <c r="A77" t="s">
        <v>589</v>
      </c>
      <c r="B77" t="s">
        <v>1442</v>
      </c>
      <c r="C77" t="s">
        <v>1001</v>
      </c>
      <c r="D77" t="s">
        <v>590</v>
      </c>
      <c r="E77" t="s">
        <v>591</v>
      </c>
      <c r="F77" t="s">
        <v>1000</v>
      </c>
      <c r="G77" t="s">
        <v>592</v>
      </c>
    </row>
    <row r="78" spans="1:7" x14ac:dyDescent="0.3">
      <c r="A78" t="s">
        <v>593</v>
      </c>
      <c r="B78" t="s">
        <v>1442</v>
      </c>
      <c r="C78" t="s">
        <v>1002</v>
      </c>
      <c r="D78" t="s">
        <v>1003</v>
      </c>
      <c r="E78" t="s">
        <v>591</v>
      </c>
      <c r="F78" t="s">
        <v>1004</v>
      </c>
      <c r="G78" t="s">
        <v>592</v>
      </c>
    </row>
    <row r="79" spans="1:7" x14ac:dyDescent="0.3">
      <c r="A79" t="s">
        <v>593</v>
      </c>
      <c r="B79" t="s">
        <v>1442</v>
      </c>
      <c r="C79" t="s">
        <v>1005</v>
      </c>
      <c r="D79" t="s">
        <v>1003</v>
      </c>
      <c r="E79" t="s">
        <v>591</v>
      </c>
      <c r="F79" t="s">
        <v>1004</v>
      </c>
      <c r="G79" t="s">
        <v>592</v>
      </c>
    </row>
    <row r="80" spans="1:7" x14ac:dyDescent="0.3">
      <c r="A80" t="s">
        <v>589</v>
      </c>
      <c r="B80" t="s">
        <v>1443</v>
      </c>
      <c r="C80" t="s">
        <v>1006</v>
      </c>
      <c r="D80" t="s">
        <v>590</v>
      </c>
      <c r="E80" t="s">
        <v>591</v>
      </c>
      <c r="F80" t="s">
        <v>1007</v>
      </c>
      <c r="G80" t="s">
        <v>592</v>
      </c>
    </row>
    <row r="81" spans="1:7" x14ac:dyDescent="0.3">
      <c r="A81" t="s">
        <v>593</v>
      </c>
      <c r="B81" t="s">
        <v>1443</v>
      </c>
      <c r="C81" t="s">
        <v>1008</v>
      </c>
      <c r="D81" t="s">
        <v>1003</v>
      </c>
      <c r="E81" t="s">
        <v>591</v>
      </c>
      <c r="F81" t="s">
        <v>1007</v>
      </c>
      <c r="G81" t="s">
        <v>592</v>
      </c>
    </row>
    <row r="82" spans="1:7" x14ac:dyDescent="0.3">
      <c r="A82" t="s">
        <v>589</v>
      </c>
      <c r="B82" t="s">
        <v>1442</v>
      </c>
      <c r="C82" t="s">
        <v>1009</v>
      </c>
      <c r="D82" t="s">
        <v>1010</v>
      </c>
      <c r="E82" t="s">
        <v>591</v>
      </c>
      <c r="F82" t="s">
        <v>1011</v>
      </c>
      <c r="G82" t="s">
        <v>592</v>
      </c>
    </row>
    <row r="83" spans="1:7" x14ac:dyDescent="0.3">
      <c r="A83" t="s">
        <v>589</v>
      </c>
      <c r="B83" t="s">
        <v>1442</v>
      </c>
      <c r="C83" t="s">
        <v>1012</v>
      </c>
      <c r="D83" t="s">
        <v>1013</v>
      </c>
      <c r="E83" t="s">
        <v>591</v>
      </c>
      <c r="F83" t="s">
        <v>1011</v>
      </c>
      <c r="G83" t="s">
        <v>592</v>
      </c>
    </row>
    <row r="84" spans="1:7" x14ac:dyDescent="0.3">
      <c r="A84" t="s">
        <v>589</v>
      </c>
      <c r="B84" t="s">
        <v>1442</v>
      </c>
      <c r="C84" t="s">
        <v>1014</v>
      </c>
      <c r="D84" t="s">
        <v>1015</v>
      </c>
      <c r="E84" t="s">
        <v>591</v>
      </c>
      <c r="F84" t="s">
        <v>1011</v>
      </c>
      <c r="G84" t="s">
        <v>592</v>
      </c>
    </row>
    <row r="85" spans="1:7" hidden="1" x14ac:dyDescent="0.3">
      <c r="A85" t="s">
        <v>594</v>
      </c>
    </row>
    <row r="86" spans="1:7" x14ac:dyDescent="0.3">
      <c r="A86" t="s">
        <v>595</v>
      </c>
      <c r="B86" t="s">
        <v>1442</v>
      </c>
      <c r="C86" t="s">
        <v>1016</v>
      </c>
      <c r="D86" t="s">
        <v>590</v>
      </c>
      <c r="E86" t="s">
        <v>591</v>
      </c>
      <c r="F86" t="s">
        <v>596</v>
      </c>
      <c r="G86" t="s">
        <v>592</v>
      </c>
    </row>
    <row r="87" spans="1:7" x14ac:dyDescent="0.3">
      <c r="A87" t="s">
        <v>595</v>
      </c>
      <c r="B87" t="s">
        <v>1442</v>
      </c>
      <c r="C87" t="s">
        <v>1017</v>
      </c>
      <c r="D87" t="s">
        <v>590</v>
      </c>
      <c r="E87" t="s">
        <v>591</v>
      </c>
      <c r="F87" t="s">
        <v>596</v>
      </c>
      <c r="G87" t="s">
        <v>592</v>
      </c>
    </row>
    <row r="88" spans="1:7" x14ac:dyDescent="0.3">
      <c r="A88" t="s">
        <v>595</v>
      </c>
      <c r="B88" t="s">
        <v>1442</v>
      </c>
      <c r="C88" t="s">
        <v>1018</v>
      </c>
      <c r="D88" t="s">
        <v>1003</v>
      </c>
      <c r="E88" t="s">
        <v>591</v>
      </c>
      <c r="F88" t="s">
        <v>596</v>
      </c>
      <c r="G88" t="s">
        <v>592</v>
      </c>
    </row>
    <row r="89" spans="1:7" x14ac:dyDescent="0.3">
      <c r="A89" t="s">
        <v>595</v>
      </c>
      <c r="B89" t="s">
        <v>1442</v>
      </c>
      <c r="C89" t="s">
        <v>1019</v>
      </c>
      <c r="D89" t="s">
        <v>1003</v>
      </c>
      <c r="E89" t="s">
        <v>591</v>
      </c>
      <c r="F89" t="s">
        <v>596</v>
      </c>
      <c r="G89" t="s">
        <v>592</v>
      </c>
    </row>
    <row r="90" spans="1:7" x14ac:dyDescent="0.3">
      <c r="A90" t="s">
        <v>595</v>
      </c>
      <c r="B90" t="s">
        <v>1443</v>
      </c>
      <c r="C90" t="s">
        <v>1020</v>
      </c>
      <c r="D90" t="s">
        <v>590</v>
      </c>
      <c r="E90" t="s">
        <v>591</v>
      </c>
      <c r="F90" t="s">
        <v>596</v>
      </c>
      <c r="G90" t="s">
        <v>592</v>
      </c>
    </row>
    <row r="91" spans="1:7" x14ac:dyDescent="0.3">
      <c r="A91" t="s">
        <v>595</v>
      </c>
      <c r="B91" t="s">
        <v>1443</v>
      </c>
      <c r="C91" t="s">
        <v>1021</v>
      </c>
      <c r="D91" t="s">
        <v>1003</v>
      </c>
      <c r="E91" t="s">
        <v>591</v>
      </c>
      <c r="F91" t="s">
        <v>596</v>
      </c>
      <c r="G91" t="s">
        <v>592</v>
      </c>
    </row>
    <row r="92" spans="1:7" x14ac:dyDescent="0.3">
      <c r="A92" t="s">
        <v>595</v>
      </c>
      <c r="B92" t="s">
        <v>1442</v>
      </c>
      <c r="C92" t="s">
        <v>1022</v>
      </c>
      <c r="D92" t="s">
        <v>1010</v>
      </c>
      <c r="E92" t="s">
        <v>591</v>
      </c>
      <c r="F92" t="s">
        <v>596</v>
      </c>
      <c r="G92" t="s">
        <v>592</v>
      </c>
    </row>
    <row r="93" spans="1:7" x14ac:dyDescent="0.3">
      <c r="A93" t="s">
        <v>595</v>
      </c>
      <c r="B93" t="s">
        <v>1442</v>
      </c>
      <c r="C93" t="s">
        <v>1023</v>
      </c>
      <c r="D93" t="s">
        <v>1013</v>
      </c>
      <c r="E93" t="s">
        <v>591</v>
      </c>
      <c r="F93" t="s">
        <v>596</v>
      </c>
      <c r="G93" t="s">
        <v>592</v>
      </c>
    </row>
    <row r="94" spans="1:7" x14ac:dyDescent="0.3">
      <c r="A94" t="s">
        <v>595</v>
      </c>
      <c r="B94" t="s">
        <v>1442</v>
      </c>
      <c r="C94" t="s">
        <v>1024</v>
      </c>
      <c r="D94" t="s">
        <v>1015</v>
      </c>
      <c r="E94" t="s">
        <v>591</v>
      </c>
      <c r="F94" t="s">
        <v>596</v>
      </c>
      <c r="G94" t="s">
        <v>592</v>
      </c>
    </row>
    <row r="95" spans="1:7" hidden="1" x14ac:dyDescent="0.3">
      <c r="A95" t="s">
        <v>1025</v>
      </c>
    </row>
    <row r="96" spans="1:7" hidden="1" x14ac:dyDescent="0.3"/>
    <row r="97" spans="1:7" hidden="1" x14ac:dyDescent="0.3">
      <c r="A97" t="s">
        <v>1026</v>
      </c>
    </row>
    <row r="98" spans="1:7" x14ac:dyDescent="0.3">
      <c r="A98" t="s">
        <v>1027</v>
      </c>
      <c r="B98" t="s">
        <v>1442</v>
      </c>
      <c r="C98" t="s">
        <v>1028</v>
      </c>
      <c r="D98" t="s">
        <v>1029</v>
      </c>
      <c r="E98" t="s">
        <v>1030</v>
      </c>
      <c r="F98" t="s">
        <v>1031</v>
      </c>
      <c r="G98" t="s">
        <v>1032</v>
      </c>
    </row>
    <row r="99" spans="1:7" x14ac:dyDescent="0.3">
      <c r="A99" t="s">
        <v>1027</v>
      </c>
      <c r="B99" t="s">
        <v>1442</v>
      </c>
      <c r="C99" t="s">
        <v>1033</v>
      </c>
      <c r="D99" t="s">
        <v>1029</v>
      </c>
      <c r="E99" t="s">
        <v>1030</v>
      </c>
      <c r="F99" t="s">
        <v>1034</v>
      </c>
      <c r="G99" t="s">
        <v>1032</v>
      </c>
    </row>
    <row r="100" spans="1:7" x14ac:dyDescent="0.3">
      <c r="A100" t="s">
        <v>1027</v>
      </c>
      <c r="B100" t="s">
        <v>1442</v>
      </c>
      <c r="C100" t="s">
        <v>1035</v>
      </c>
      <c r="D100" t="s">
        <v>1036</v>
      </c>
      <c r="E100" t="s">
        <v>1030</v>
      </c>
      <c r="F100" t="s">
        <v>1031</v>
      </c>
      <c r="G100" t="s">
        <v>1032</v>
      </c>
    </row>
    <row r="101" spans="1:7" x14ac:dyDescent="0.3">
      <c r="A101" t="s">
        <v>1027</v>
      </c>
      <c r="B101" t="s">
        <v>1442</v>
      </c>
      <c r="C101" t="s">
        <v>1037</v>
      </c>
      <c r="D101" t="s">
        <v>1036</v>
      </c>
      <c r="E101" t="s">
        <v>1030</v>
      </c>
      <c r="F101" t="s">
        <v>1034</v>
      </c>
      <c r="G101" t="s">
        <v>1032</v>
      </c>
    </row>
    <row r="102" spans="1:7" x14ac:dyDescent="0.3">
      <c r="A102" t="s">
        <v>1027</v>
      </c>
      <c r="B102" t="s">
        <v>1443</v>
      </c>
      <c r="C102" t="s">
        <v>1038</v>
      </c>
      <c r="D102" t="s">
        <v>1029</v>
      </c>
      <c r="E102" t="s">
        <v>1030</v>
      </c>
      <c r="F102" t="s">
        <v>1039</v>
      </c>
      <c r="G102" t="s">
        <v>1032</v>
      </c>
    </row>
    <row r="103" spans="1:7" x14ac:dyDescent="0.3">
      <c r="A103" t="s">
        <v>1027</v>
      </c>
      <c r="B103" t="s">
        <v>1443</v>
      </c>
      <c r="C103" t="s">
        <v>1040</v>
      </c>
      <c r="D103" t="s">
        <v>1029</v>
      </c>
      <c r="E103" t="s">
        <v>1030</v>
      </c>
      <c r="F103" t="s">
        <v>1041</v>
      </c>
      <c r="G103" t="s">
        <v>1032</v>
      </c>
    </row>
    <row r="104" spans="1:7" x14ac:dyDescent="0.3">
      <c r="A104" t="s">
        <v>1027</v>
      </c>
      <c r="B104" t="s">
        <v>1443</v>
      </c>
      <c r="C104" t="s">
        <v>1042</v>
      </c>
      <c r="D104" t="s">
        <v>1036</v>
      </c>
      <c r="E104" t="s">
        <v>1030</v>
      </c>
      <c r="F104" t="s">
        <v>1039</v>
      </c>
      <c r="G104" t="s">
        <v>1032</v>
      </c>
    </row>
    <row r="105" spans="1:7" x14ac:dyDescent="0.3">
      <c r="A105" t="s">
        <v>1027</v>
      </c>
      <c r="B105" t="s">
        <v>1443</v>
      </c>
      <c r="C105" t="s">
        <v>1043</v>
      </c>
      <c r="D105" t="s">
        <v>1036</v>
      </c>
      <c r="E105" t="s">
        <v>1030</v>
      </c>
      <c r="F105" t="s">
        <v>1041</v>
      </c>
      <c r="G105" t="s">
        <v>1032</v>
      </c>
    </row>
    <row r="106" spans="1:7" x14ac:dyDescent="0.3">
      <c r="A106" t="s">
        <v>1027</v>
      </c>
      <c r="B106" t="s">
        <v>1442</v>
      </c>
      <c r="C106" t="s">
        <v>1044</v>
      </c>
      <c r="D106" t="s">
        <v>924</v>
      </c>
      <c r="E106" t="s">
        <v>1030</v>
      </c>
      <c r="F106" t="s">
        <v>1045</v>
      </c>
      <c r="G106" t="s">
        <v>1032</v>
      </c>
    </row>
    <row r="107" spans="1:7" x14ac:dyDescent="0.3">
      <c r="A107" t="s">
        <v>1027</v>
      </c>
      <c r="B107" t="s">
        <v>1442</v>
      </c>
      <c r="C107" t="s">
        <v>1046</v>
      </c>
      <c r="D107" t="s">
        <v>924</v>
      </c>
      <c r="E107" t="s">
        <v>1030</v>
      </c>
      <c r="F107" t="s">
        <v>1045</v>
      </c>
      <c r="G107" t="s">
        <v>1032</v>
      </c>
    </row>
    <row r="108" spans="1:7" x14ac:dyDescent="0.3">
      <c r="A108" t="s">
        <v>1027</v>
      </c>
      <c r="B108" t="s">
        <v>1442</v>
      </c>
      <c r="C108" t="s">
        <v>1047</v>
      </c>
      <c r="D108" t="s">
        <v>924</v>
      </c>
      <c r="E108" t="s">
        <v>1030</v>
      </c>
      <c r="F108" t="s">
        <v>1041</v>
      </c>
      <c r="G108" t="s">
        <v>1032</v>
      </c>
    </row>
    <row r="109" spans="1:7" x14ac:dyDescent="0.3">
      <c r="A109" t="s">
        <v>1027</v>
      </c>
      <c r="B109" t="s">
        <v>1442</v>
      </c>
      <c r="C109" t="s">
        <v>1048</v>
      </c>
      <c r="D109" t="s">
        <v>924</v>
      </c>
      <c r="E109" t="s">
        <v>1030</v>
      </c>
      <c r="F109" t="s">
        <v>1041</v>
      </c>
      <c r="G109" t="s">
        <v>1032</v>
      </c>
    </row>
    <row r="110" spans="1:7" x14ac:dyDescent="0.3">
      <c r="A110" t="s">
        <v>1027</v>
      </c>
      <c r="B110" t="s">
        <v>1442</v>
      </c>
      <c r="C110" t="s">
        <v>1049</v>
      </c>
      <c r="D110" t="s">
        <v>924</v>
      </c>
      <c r="E110" t="s">
        <v>1030</v>
      </c>
      <c r="F110" t="s">
        <v>1050</v>
      </c>
      <c r="G110" t="s">
        <v>1032</v>
      </c>
    </row>
    <row r="111" spans="1:7" x14ac:dyDescent="0.3">
      <c r="A111" t="s">
        <v>1027</v>
      </c>
      <c r="B111" t="s">
        <v>1442</v>
      </c>
      <c r="C111" t="s">
        <v>1051</v>
      </c>
      <c r="D111" t="s">
        <v>924</v>
      </c>
      <c r="E111" t="s">
        <v>1030</v>
      </c>
      <c r="F111" t="s">
        <v>1052</v>
      </c>
      <c r="G111" t="s">
        <v>1032</v>
      </c>
    </row>
    <row r="112" spans="1:7" x14ac:dyDescent="0.3">
      <c r="A112" t="s">
        <v>1027</v>
      </c>
      <c r="B112" t="s">
        <v>1442</v>
      </c>
      <c r="C112" t="s">
        <v>1053</v>
      </c>
      <c r="D112" t="s">
        <v>924</v>
      </c>
      <c r="E112" t="s">
        <v>1030</v>
      </c>
      <c r="F112" t="s">
        <v>1052</v>
      </c>
      <c r="G112" t="s">
        <v>1032</v>
      </c>
    </row>
    <row r="113" spans="1:7" x14ac:dyDescent="0.3">
      <c r="A113" t="s">
        <v>1027</v>
      </c>
      <c r="B113" t="s">
        <v>1442</v>
      </c>
      <c r="C113" t="s">
        <v>1054</v>
      </c>
      <c r="D113" t="s">
        <v>924</v>
      </c>
      <c r="E113" t="s">
        <v>1030</v>
      </c>
      <c r="F113" t="s">
        <v>1052</v>
      </c>
      <c r="G113" t="s">
        <v>1032</v>
      </c>
    </row>
    <row r="114" spans="1:7" x14ac:dyDescent="0.3">
      <c r="A114" t="s">
        <v>1027</v>
      </c>
      <c r="B114" t="s">
        <v>1442</v>
      </c>
      <c r="C114" t="s">
        <v>1055</v>
      </c>
      <c r="D114" t="s">
        <v>924</v>
      </c>
      <c r="E114" t="s">
        <v>1030</v>
      </c>
      <c r="F114" t="s">
        <v>1052</v>
      </c>
      <c r="G114" t="s">
        <v>1032</v>
      </c>
    </row>
    <row r="115" spans="1:7" x14ac:dyDescent="0.3">
      <c r="A115" t="s">
        <v>1027</v>
      </c>
      <c r="B115" t="s">
        <v>1442</v>
      </c>
      <c r="C115" t="s">
        <v>1056</v>
      </c>
      <c r="D115" t="s">
        <v>924</v>
      </c>
      <c r="E115" t="s">
        <v>1030</v>
      </c>
      <c r="F115" t="s">
        <v>1052</v>
      </c>
      <c r="G115" t="s">
        <v>1032</v>
      </c>
    </row>
    <row r="116" spans="1:7" x14ac:dyDescent="0.3">
      <c r="A116" t="s">
        <v>1027</v>
      </c>
      <c r="B116" t="s">
        <v>1442</v>
      </c>
      <c r="C116" t="s">
        <v>1057</v>
      </c>
      <c r="D116" t="s">
        <v>924</v>
      </c>
      <c r="E116" t="s">
        <v>1030</v>
      </c>
      <c r="F116" t="s">
        <v>1058</v>
      </c>
      <c r="G116" t="s">
        <v>1032</v>
      </c>
    </row>
    <row r="117" spans="1:7" x14ac:dyDescent="0.3">
      <c r="A117" t="s">
        <v>1027</v>
      </c>
      <c r="B117" t="s">
        <v>1442</v>
      </c>
      <c r="C117" t="s">
        <v>1059</v>
      </c>
      <c r="D117" t="s">
        <v>924</v>
      </c>
      <c r="E117" t="s">
        <v>1030</v>
      </c>
      <c r="F117" t="s">
        <v>1060</v>
      </c>
      <c r="G117" t="s">
        <v>1032</v>
      </c>
    </row>
    <row r="118" spans="1:7" x14ac:dyDescent="0.3">
      <c r="A118" t="s">
        <v>1027</v>
      </c>
      <c r="B118" t="s">
        <v>1442</v>
      </c>
      <c r="C118" t="s">
        <v>1061</v>
      </c>
      <c r="D118" t="s">
        <v>924</v>
      </c>
      <c r="E118" t="s">
        <v>1030</v>
      </c>
      <c r="F118" t="s">
        <v>1041</v>
      </c>
      <c r="G118" t="s">
        <v>1032</v>
      </c>
    </row>
    <row r="119" spans="1:7" x14ac:dyDescent="0.3">
      <c r="A119" t="s">
        <v>1027</v>
      </c>
      <c r="B119" t="s">
        <v>1442</v>
      </c>
      <c r="C119" t="s">
        <v>1062</v>
      </c>
      <c r="D119" t="s">
        <v>924</v>
      </c>
      <c r="E119" t="s">
        <v>1030</v>
      </c>
      <c r="F119" t="s">
        <v>1041</v>
      </c>
      <c r="G119" t="s">
        <v>1032</v>
      </c>
    </row>
    <row r="120" spans="1:7" x14ac:dyDescent="0.3">
      <c r="A120" t="s">
        <v>1027</v>
      </c>
      <c r="B120" t="s">
        <v>1442</v>
      </c>
      <c r="C120" t="s">
        <v>1063</v>
      </c>
      <c r="D120" t="s">
        <v>924</v>
      </c>
      <c r="E120" t="s">
        <v>1030</v>
      </c>
      <c r="F120" t="s">
        <v>1064</v>
      </c>
      <c r="G120" t="s">
        <v>1032</v>
      </c>
    </row>
    <row r="121" spans="1:7" hidden="1" x14ac:dyDescent="0.3">
      <c r="A121" t="s">
        <v>1065</v>
      </c>
    </row>
    <row r="122" spans="1:7" x14ac:dyDescent="0.3">
      <c r="A122" t="s">
        <v>1066</v>
      </c>
      <c r="B122" t="s">
        <v>1442</v>
      </c>
      <c r="C122" t="s">
        <v>1067</v>
      </c>
      <c r="D122" t="s">
        <v>916</v>
      </c>
      <c r="E122" t="s">
        <v>1030</v>
      </c>
      <c r="F122" t="s">
        <v>1068</v>
      </c>
      <c r="G122" t="s">
        <v>1069</v>
      </c>
    </row>
    <row r="123" spans="1:7" x14ac:dyDescent="0.3">
      <c r="A123" t="s">
        <v>1066</v>
      </c>
      <c r="B123" t="s">
        <v>1442</v>
      </c>
      <c r="C123" t="s">
        <v>1070</v>
      </c>
      <c r="D123" t="s">
        <v>916</v>
      </c>
      <c r="E123" t="s">
        <v>1030</v>
      </c>
      <c r="F123" t="s">
        <v>1068</v>
      </c>
      <c r="G123" t="s">
        <v>1069</v>
      </c>
    </row>
    <row r="124" spans="1:7" x14ac:dyDescent="0.3">
      <c r="A124" t="s">
        <v>1066</v>
      </c>
      <c r="B124" t="s">
        <v>1442</v>
      </c>
      <c r="C124" t="s">
        <v>1071</v>
      </c>
      <c r="D124" t="s">
        <v>916</v>
      </c>
      <c r="E124" t="s">
        <v>1030</v>
      </c>
      <c r="F124" t="s">
        <v>1072</v>
      </c>
      <c r="G124" t="s">
        <v>1069</v>
      </c>
    </row>
    <row r="125" spans="1:7" x14ac:dyDescent="0.3">
      <c r="A125" t="s">
        <v>1066</v>
      </c>
      <c r="B125" t="s">
        <v>1442</v>
      </c>
      <c r="C125" t="s">
        <v>1073</v>
      </c>
      <c r="D125" t="s">
        <v>916</v>
      </c>
      <c r="E125" t="s">
        <v>1030</v>
      </c>
      <c r="F125" t="s">
        <v>1072</v>
      </c>
      <c r="G125" t="s">
        <v>1069</v>
      </c>
    </row>
    <row r="126" spans="1:7" x14ac:dyDescent="0.3">
      <c r="A126" t="s">
        <v>1066</v>
      </c>
      <c r="B126" t="s">
        <v>1442</v>
      </c>
      <c r="C126" t="s">
        <v>1074</v>
      </c>
      <c r="D126" t="s">
        <v>916</v>
      </c>
      <c r="E126" t="s">
        <v>1030</v>
      </c>
      <c r="F126" t="s">
        <v>1075</v>
      </c>
      <c r="G126" t="s">
        <v>1069</v>
      </c>
    </row>
    <row r="127" spans="1:7" x14ac:dyDescent="0.3">
      <c r="A127" t="s">
        <v>1066</v>
      </c>
      <c r="B127" t="s">
        <v>1442</v>
      </c>
      <c r="C127" t="s">
        <v>1076</v>
      </c>
      <c r="D127" t="s">
        <v>916</v>
      </c>
      <c r="E127" t="s">
        <v>1030</v>
      </c>
      <c r="F127" t="s">
        <v>1077</v>
      </c>
      <c r="G127" t="s">
        <v>1078</v>
      </c>
    </row>
    <row r="128" spans="1:7" x14ac:dyDescent="0.3">
      <c r="A128" t="s">
        <v>1066</v>
      </c>
      <c r="B128" t="s">
        <v>1442</v>
      </c>
      <c r="C128" t="s">
        <v>1079</v>
      </c>
      <c r="D128" t="s">
        <v>916</v>
      </c>
      <c r="E128" t="s">
        <v>1030</v>
      </c>
      <c r="F128" t="s">
        <v>1077</v>
      </c>
      <c r="G128" t="s">
        <v>1078</v>
      </c>
    </row>
    <row r="129" spans="1:7" x14ac:dyDescent="0.3">
      <c r="A129" t="s">
        <v>1066</v>
      </c>
      <c r="B129" t="s">
        <v>1442</v>
      </c>
      <c r="C129" t="s">
        <v>1080</v>
      </c>
      <c r="D129" t="s">
        <v>916</v>
      </c>
      <c r="E129" t="s">
        <v>1030</v>
      </c>
      <c r="F129" t="s">
        <v>1077</v>
      </c>
      <c r="G129" t="s">
        <v>1078</v>
      </c>
    </row>
    <row r="130" spans="1:7" x14ac:dyDescent="0.3">
      <c r="A130" t="s">
        <v>1066</v>
      </c>
      <c r="B130" t="s">
        <v>1442</v>
      </c>
      <c r="C130" t="s">
        <v>1081</v>
      </c>
      <c r="D130" t="s">
        <v>916</v>
      </c>
      <c r="E130" t="s">
        <v>1030</v>
      </c>
      <c r="F130" t="s">
        <v>1077</v>
      </c>
      <c r="G130" t="s">
        <v>1078</v>
      </c>
    </row>
    <row r="131" spans="1:7" x14ac:dyDescent="0.3">
      <c r="A131" t="s">
        <v>1066</v>
      </c>
      <c r="B131" t="s">
        <v>1442</v>
      </c>
      <c r="C131" t="s">
        <v>1082</v>
      </c>
      <c r="D131" t="s">
        <v>916</v>
      </c>
      <c r="E131" t="s">
        <v>1030</v>
      </c>
      <c r="F131" t="s">
        <v>1077</v>
      </c>
      <c r="G131" t="s">
        <v>1078</v>
      </c>
    </row>
    <row r="132" spans="1:7" x14ac:dyDescent="0.3">
      <c r="A132" t="s">
        <v>1066</v>
      </c>
      <c r="B132" t="s">
        <v>1442</v>
      </c>
      <c r="C132" t="s">
        <v>1083</v>
      </c>
      <c r="D132" t="s">
        <v>916</v>
      </c>
      <c r="E132" t="s">
        <v>1030</v>
      </c>
      <c r="F132" t="s">
        <v>1084</v>
      </c>
      <c r="G132" t="s">
        <v>1078</v>
      </c>
    </row>
    <row r="133" spans="1:7" x14ac:dyDescent="0.3">
      <c r="A133" t="s">
        <v>1066</v>
      </c>
      <c r="B133" t="s">
        <v>1442</v>
      </c>
      <c r="C133" t="s">
        <v>1085</v>
      </c>
      <c r="D133" t="s">
        <v>916</v>
      </c>
      <c r="E133" t="s">
        <v>1030</v>
      </c>
      <c r="F133" t="s">
        <v>1086</v>
      </c>
      <c r="G133" t="s">
        <v>1069</v>
      </c>
    </row>
    <row r="134" spans="1:7" x14ac:dyDescent="0.3">
      <c r="A134" t="s">
        <v>1066</v>
      </c>
      <c r="B134" t="s">
        <v>1442</v>
      </c>
      <c r="C134" t="s">
        <v>1087</v>
      </c>
      <c r="D134" t="s">
        <v>916</v>
      </c>
      <c r="E134" t="s">
        <v>1030</v>
      </c>
      <c r="F134" t="s">
        <v>1072</v>
      </c>
      <c r="G134" t="s">
        <v>1069</v>
      </c>
    </row>
    <row r="135" spans="1:7" x14ac:dyDescent="0.3">
      <c r="A135" t="s">
        <v>1066</v>
      </c>
      <c r="B135" t="s">
        <v>1442</v>
      </c>
      <c r="C135" t="s">
        <v>1088</v>
      </c>
      <c r="D135" t="s">
        <v>916</v>
      </c>
      <c r="E135" t="s">
        <v>1030</v>
      </c>
      <c r="F135" t="s">
        <v>1072</v>
      </c>
      <c r="G135" t="s">
        <v>1069</v>
      </c>
    </row>
    <row r="136" spans="1:7" x14ac:dyDescent="0.3">
      <c r="A136" t="s">
        <v>1066</v>
      </c>
      <c r="B136" t="s">
        <v>1442</v>
      </c>
      <c r="C136" t="s">
        <v>1089</v>
      </c>
      <c r="D136" t="s">
        <v>916</v>
      </c>
      <c r="E136" t="s">
        <v>1030</v>
      </c>
      <c r="F136" t="s">
        <v>1090</v>
      </c>
      <c r="G136" t="s">
        <v>1078</v>
      </c>
    </row>
    <row r="137" spans="1:7" hidden="1" x14ac:dyDescent="0.3">
      <c r="A137" t="s">
        <v>598</v>
      </c>
    </row>
    <row r="138" spans="1:7" x14ac:dyDescent="0.3">
      <c r="A138" t="s">
        <v>599</v>
      </c>
      <c r="B138" t="s">
        <v>1442</v>
      </c>
      <c r="C138" t="s">
        <v>1091</v>
      </c>
      <c r="D138" t="s">
        <v>1092</v>
      </c>
      <c r="E138" t="s">
        <v>600</v>
      </c>
      <c r="F138" t="s">
        <v>1093</v>
      </c>
      <c r="G138" t="s">
        <v>1094</v>
      </c>
    </row>
    <row r="139" spans="1:7" x14ac:dyDescent="0.3">
      <c r="A139" t="s">
        <v>599</v>
      </c>
      <c r="B139" t="s">
        <v>1443</v>
      </c>
      <c r="C139" t="s">
        <v>1095</v>
      </c>
      <c r="D139" t="s">
        <v>1096</v>
      </c>
      <c r="E139" t="s">
        <v>600</v>
      </c>
      <c r="F139" t="s">
        <v>1097</v>
      </c>
      <c r="G139" t="s">
        <v>1098</v>
      </c>
    </row>
    <row r="140" spans="1:7" x14ac:dyDescent="0.3">
      <c r="A140" t="s">
        <v>599</v>
      </c>
      <c r="B140" t="s">
        <v>1443</v>
      </c>
      <c r="C140" t="s">
        <v>1099</v>
      </c>
      <c r="D140" t="s">
        <v>1100</v>
      </c>
      <c r="E140" t="s">
        <v>600</v>
      </c>
      <c r="F140" t="s">
        <v>1101</v>
      </c>
      <c r="G140" t="s">
        <v>1102</v>
      </c>
    </row>
    <row r="141" spans="1:7" x14ac:dyDescent="0.3">
      <c r="A141" t="s">
        <v>599</v>
      </c>
      <c r="B141" t="s">
        <v>1443</v>
      </c>
      <c r="C141" t="s">
        <v>1103</v>
      </c>
      <c r="D141" t="s">
        <v>1104</v>
      </c>
      <c r="E141" t="s">
        <v>600</v>
      </c>
      <c r="F141" t="s">
        <v>1105</v>
      </c>
      <c r="G141" t="s">
        <v>1098</v>
      </c>
    </row>
    <row r="142" spans="1:7" x14ac:dyDescent="0.3">
      <c r="A142" t="s">
        <v>599</v>
      </c>
      <c r="B142" t="s">
        <v>1442</v>
      </c>
      <c r="C142" t="s">
        <v>1106</v>
      </c>
      <c r="D142" t="s">
        <v>1107</v>
      </c>
      <c r="E142" t="s">
        <v>600</v>
      </c>
      <c r="F142" t="s">
        <v>1108</v>
      </c>
      <c r="G142" t="s">
        <v>1109</v>
      </c>
    </row>
    <row r="143" spans="1:7" x14ac:dyDescent="0.3">
      <c r="A143" t="s">
        <v>599</v>
      </c>
      <c r="B143" t="s">
        <v>1442</v>
      </c>
      <c r="C143" t="s">
        <v>1110</v>
      </c>
      <c r="D143" t="s">
        <v>1111</v>
      </c>
      <c r="E143" t="s">
        <v>600</v>
      </c>
      <c r="F143" t="s">
        <v>1108</v>
      </c>
      <c r="G143" t="s">
        <v>1109</v>
      </c>
    </row>
    <row r="144" spans="1:7" x14ac:dyDescent="0.3">
      <c r="A144" t="s">
        <v>599</v>
      </c>
      <c r="B144" t="s">
        <v>1442</v>
      </c>
      <c r="C144" t="s">
        <v>1112</v>
      </c>
      <c r="D144" t="s">
        <v>1107</v>
      </c>
      <c r="E144" t="s">
        <v>600</v>
      </c>
      <c r="F144" t="s">
        <v>1108</v>
      </c>
      <c r="G144" t="s">
        <v>1109</v>
      </c>
    </row>
    <row r="145" spans="1:7" x14ac:dyDescent="0.3">
      <c r="A145" t="s">
        <v>599</v>
      </c>
      <c r="B145" t="s">
        <v>1442</v>
      </c>
      <c r="C145" t="s">
        <v>1113</v>
      </c>
      <c r="D145" t="s">
        <v>1111</v>
      </c>
      <c r="E145" t="s">
        <v>600</v>
      </c>
      <c r="F145" t="s">
        <v>1108</v>
      </c>
      <c r="G145" t="s">
        <v>1109</v>
      </c>
    </row>
    <row r="146" spans="1:7" x14ac:dyDescent="0.3">
      <c r="A146" t="s">
        <v>599</v>
      </c>
      <c r="B146" t="s">
        <v>1442</v>
      </c>
      <c r="C146" t="s">
        <v>1114</v>
      </c>
      <c r="D146" t="s">
        <v>1107</v>
      </c>
      <c r="E146" t="s">
        <v>600</v>
      </c>
      <c r="F146" t="s">
        <v>1108</v>
      </c>
      <c r="G146" t="s">
        <v>1109</v>
      </c>
    </row>
    <row r="147" spans="1:7" x14ac:dyDescent="0.3">
      <c r="A147" t="s">
        <v>599</v>
      </c>
      <c r="B147" t="s">
        <v>1442</v>
      </c>
      <c r="C147" t="s">
        <v>1115</v>
      </c>
      <c r="D147" t="s">
        <v>1111</v>
      </c>
      <c r="E147" t="s">
        <v>600</v>
      </c>
      <c r="F147" t="s">
        <v>1108</v>
      </c>
      <c r="G147" t="s">
        <v>1109</v>
      </c>
    </row>
    <row r="148" spans="1:7" hidden="1" x14ac:dyDescent="0.3">
      <c r="A148" t="s">
        <v>1116</v>
      </c>
    </row>
    <row r="149" spans="1:7" x14ac:dyDescent="0.3">
      <c r="A149" t="s">
        <v>1117</v>
      </c>
      <c r="B149" t="s">
        <v>1442</v>
      </c>
      <c r="C149" t="s">
        <v>1118</v>
      </c>
      <c r="D149" t="s">
        <v>919</v>
      </c>
      <c r="E149" t="s">
        <v>603</v>
      </c>
      <c r="F149" t="s">
        <v>1119</v>
      </c>
    </row>
    <row r="150" spans="1:7" x14ac:dyDescent="0.3">
      <c r="A150" t="s">
        <v>1117</v>
      </c>
      <c r="B150" t="s">
        <v>1443</v>
      </c>
      <c r="C150" t="s">
        <v>1120</v>
      </c>
      <c r="D150" t="s">
        <v>919</v>
      </c>
      <c r="E150" t="s">
        <v>603</v>
      </c>
      <c r="F150" t="s">
        <v>1121</v>
      </c>
    </row>
    <row r="151" spans="1:7" hidden="1" x14ac:dyDescent="0.3">
      <c r="A151" t="s">
        <v>601</v>
      </c>
    </row>
    <row r="152" spans="1:7" x14ac:dyDescent="0.3">
      <c r="A152" t="s">
        <v>602</v>
      </c>
      <c r="B152" t="s">
        <v>1442</v>
      </c>
      <c r="C152" t="s">
        <v>1122</v>
      </c>
      <c r="D152" t="s">
        <v>1123</v>
      </c>
      <c r="E152" t="s">
        <v>603</v>
      </c>
      <c r="F152" t="s">
        <v>1124</v>
      </c>
      <c r="G152" t="s">
        <v>1125</v>
      </c>
    </row>
    <row r="153" spans="1:7" x14ac:dyDescent="0.3">
      <c r="A153" t="s">
        <v>602</v>
      </c>
      <c r="B153" t="s">
        <v>1442</v>
      </c>
      <c r="C153" t="s">
        <v>1126</v>
      </c>
      <c r="D153" t="s">
        <v>1123</v>
      </c>
      <c r="E153" t="s">
        <v>603</v>
      </c>
      <c r="F153" t="s">
        <v>1124</v>
      </c>
      <c r="G153" t="s">
        <v>1125</v>
      </c>
    </row>
    <row r="154" spans="1:7" x14ac:dyDescent="0.3">
      <c r="A154" t="s">
        <v>602</v>
      </c>
      <c r="B154" t="s">
        <v>1442</v>
      </c>
      <c r="C154" t="s">
        <v>1127</v>
      </c>
      <c r="D154" t="s">
        <v>1123</v>
      </c>
      <c r="E154" t="s">
        <v>603</v>
      </c>
      <c r="F154" t="s">
        <v>1124</v>
      </c>
      <c r="G154" t="s">
        <v>1125</v>
      </c>
    </row>
    <row r="155" spans="1:7" x14ac:dyDescent="0.3">
      <c r="A155" t="s">
        <v>602</v>
      </c>
      <c r="B155" t="s">
        <v>1442</v>
      </c>
      <c r="C155" t="s">
        <v>1128</v>
      </c>
      <c r="D155" t="s">
        <v>1123</v>
      </c>
      <c r="E155" t="s">
        <v>603</v>
      </c>
      <c r="F155" t="s">
        <v>1124</v>
      </c>
      <c r="G155" t="s">
        <v>1125</v>
      </c>
    </row>
    <row r="156" spans="1:7" x14ac:dyDescent="0.3">
      <c r="A156" t="s">
        <v>602</v>
      </c>
      <c r="B156" t="s">
        <v>1442</v>
      </c>
      <c r="C156" t="s">
        <v>1129</v>
      </c>
      <c r="D156" t="s">
        <v>1123</v>
      </c>
      <c r="E156" t="s">
        <v>603</v>
      </c>
      <c r="F156" t="s">
        <v>1124</v>
      </c>
      <c r="G156" t="s">
        <v>1125</v>
      </c>
    </row>
    <row r="157" spans="1:7" x14ac:dyDescent="0.3">
      <c r="A157" t="s">
        <v>602</v>
      </c>
      <c r="B157" t="s">
        <v>1442</v>
      </c>
      <c r="C157" t="s">
        <v>1130</v>
      </c>
      <c r="D157" t="s">
        <v>1123</v>
      </c>
      <c r="E157" t="s">
        <v>603</v>
      </c>
      <c r="F157" t="s">
        <v>1124</v>
      </c>
      <c r="G157" t="s">
        <v>1125</v>
      </c>
    </row>
    <row r="158" spans="1:7" x14ac:dyDescent="0.3">
      <c r="A158" t="s">
        <v>602</v>
      </c>
      <c r="B158" t="s">
        <v>1442</v>
      </c>
      <c r="C158" t="s">
        <v>1131</v>
      </c>
      <c r="D158" t="s">
        <v>1123</v>
      </c>
      <c r="E158" t="s">
        <v>603</v>
      </c>
      <c r="F158" t="s">
        <v>1124</v>
      </c>
      <c r="G158" t="s">
        <v>1132</v>
      </c>
    </row>
    <row r="159" spans="1:7" x14ac:dyDescent="0.3">
      <c r="A159" t="s">
        <v>602</v>
      </c>
      <c r="B159" t="s">
        <v>1442</v>
      </c>
      <c r="C159" t="s">
        <v>1133</v>
      </c>
      <c r="D159" t="s">
        <v>1123</v>
      </c>
      <c r="E159" t="s">
        <v>603</v>
      </c>
      <c r="F159" t="s">
        <v>1124</v>
      </c>
      <c r="G159" t="s">
        <v>1132</v>
      </c>
    </row>
    <row r="160" spans="1:7" x14ac:dyDescent="0.3">
      <c r="A160" t="s">
        <v>602</v>
      </c>
      <c r="B160" t="s">
        <v>1442</v>
      </c>
      <c r="C160" t="s">
        <v>1134</v>
      </c>
      <c r="D160" t="s">
        <v>1123</v>
      </c>
      <c r="E160" t="s">
        <v>603</v>
      </c>
      <c r="F160" t="s">
        <v>1124</v>
      </c>
      <c r="G160" t="s">
        <v>1132</v>
      </c>
    </row>
    <row r="161" spans="1:7" x14ac:dyDescent="0.3">
      <c r="A161" t="s">
        <v>602</v>
      </c>
      <c r="B161" t="s">
        <v>1443</v>
      </c>
      <c r="C161" t="s">
        <v>1135</v>
      </c>
      <c r="D161" t="s">
        <v>1123</v>
      </c>
      <c r="E161" t="s">
        <v>603</v>
      </c>
      <c r="F161" t="s">
        <v>1124</v>
      </c>
      <c r="G161" t="s">
        <v>1125</v>
      </c>
    </row>
    <row r="162" spans="1:7" x14ac:dyDescent="0.3">
      <c r="A162" t="s">
        <v>602</v>
      </c>
      <c r="B162" t="s">
        <v>1443</v>
      </c>
      <c r="C162" t="s">
        <v>1136</v>
      </c>
      <c r="D162" t="s">
        <v>1123</v>
      </c>
      <c r="E162" t="s">
        <v>603</v>
      </c>
      <c r="F162" t="s">
        <v>1124</v>
      </c>
      <c r="G162" t="s">
        <v>1132</v>
      </c>
    </row>
    <row r="163" spans="1:7" x14ac:dyDescent="0.3">
      <c r="A163" t="s">
        <v>602</v>
      </c>
      <c r="B163" t="s">
        <v>1442</v>
      </c>
      <c r="C163" t="s">
        <v>1137</v>
      </c>
      <c r="D163" t="s">
        <v>1138</v>
      </c>
      <c r="E163" t="s">
        <v>603</v>
      </c>
      <c r="F163" t="s">
        <v>1139</v>
      </c>
      <c r="G163" t="s">
        <v>1140</v>
      </c>
    </row>
    <row r="164" spans="1:7" x14ac:dyDescent="0.3">
      <c r="A164" t="s">
        <v>602</v>
      </c>
      <c r="B164" t="s">
        <v>1442</v>
      </c>
      <c r="C164" t="s">
        <v>1141</v>
      </c>
      <c r="D164" t="s">
        <v>1138</v>
      </c>
      <c r="E164" t="s">
        <v>603</v>
      </c>
      <c r="F164" t="s">
        <v>1139</v>
      </c>
      <c r="G164" t="s">
        <v>1140</v>
      </c>
    </row>
    <row r="165" spans="1:7" x14ac:dyDescent="0.3">
      <c r="A165" t="s">
        <v>602</v>
      </c>
      <c r="B165" t="s">
        <v>1442</v>
      </c>
      <c r="C165" t="s">
        <v>1142</v>
      </c>
      <c r="D165" t="s">
        <v>1138</v>
      </c>
      <c r="E165" t="s">
        <v>603</v>
      </c>
      <c r="F165" t="s">
        <v>1139</v>
      </c>
      <c r="G165" t="s">
        <v>1140</v>
      </c>
    </row>
    <row r="166" spans="1:7" x14ac:dyDescent="0.3">
      <c r="A166" t="s">
        <v>602</v>
      </c>
      <c r="B166" t="s">
        <v>1442</v>
      </c>
      <c r="C166" t="s">
        <v>1143</v>
      </c>
      <c r="D166" t="s">
        <v>1138</v>
      </c>
      <c r="E166" t="s">
        <v>603</v>
      </c>
      <c r="F166" t="s">
        <v>1139</v>
      </c>
      <c r="G166" t="s">
        <v>1140</v>
      </c>
    </row>
    <row r="167" spans="1:7" x14ac:dyDescent="0.3">
      <c r="A167" t="s">
        <v>602</v>
      </c>
      <c r="B167" t="s">
        <v>1442</v>
      </c>
      <c r="C167" t="s">
        <v>1144</v>
      </c>
      <c r="D167" t="s">
        <v>1138</v>
      </c>
      <c r="E167" t="s">
        <v>603</v>
      </c>
      <c r="F167" t="s">
        <v>1139</v>
      </c>
      <c r="G167" t="s">
        <v>1140</v>
      </c>
    </row>
    <row r="168" spans="1:7" x14ac:dyDescent="0.3">
      <c r="A168" t="s">
        <v>602</v>
      </c>
      <c r="B168" t="s">
        <v>1442</v>
      </c>
      <c r="C168" t="s">
        <v>1145</v>
      </c>
      <c r="D168" t="s">
        <v>1138</v>
      </c>
      <c r="E168" t="s">
        <v>603</v>
      </c>
      <c r="F168" t="s">
        <v>1139</v>
      </c>
      <c r="G168" t="s">
        <v>1140</v>
      </c>
    </row>
    <row r="169" spans="1:7" x14ac:dyDescent="0.3">
      <c r="A169" t="s">
        <v>602</v>
      </c>
      <c r="B169" t="s">
        <v>1443</v>
      </c>
      <c r="C169" t="s">
        <v>1146</v>
      </c>
      <c r="D169" t="s">
        <v>1138</v>
      </c>
      <c r="E169" t="s">
        <v>603</v>
      </c>
      <c r="F169" t="s">
        <v>1139</v>
      </c>
      <c r="G169" t="s">
        <v>1140</v>
      </c>
    </row>
    <row r="170" spans="1:7" x14ac:dyDescent="0.3">
      <c r="A170" t="s">
        <v>602</v>
      </c>
      <c r="B170" t="s">
        <v>1442</v>
      </c>
      <c r="C170" t="s">
        <v>1147</v>
      </c>
      <c r="D170" t="s">
        <v>1148</v>
      </c>
      <c r="E170" t="s">
        <v>603</v>
      </c>
      <c r="F170" t="s">
        <v>1149</v>
      </c>
      <c r="G170" t="s">
        <v>1150</v>
      </c>
    </row>
    <row r="171" spans="1:7" x14ac:dyDescent="0.3">
      <c r="A171" t="s">
        <v>602</v>
      </c>
      <c r="B171" t="s">
        <v>1442</v>
      </c>
      <c r="C171" t="s">
        <v>1151</v>
      </c>
      <c r="D171" t="s">
        <v>1148</v>
      </c>
      <c r="E171" t="s">
        <v>603</v>
      </c>
      <c r="F171" t="s">
        <v>1149</v>
      </c>
      <c r="G171" t="s">
        <v>1150</v>
      </c>
    </row>
    <row r="172" spans="1:7" x14ac:dyDescent="0.3">
      <c r="A172" t="s">
        <v>602</v>
      </c>
      <c r="B172" t="s">
        <v>1442</v>
      </c>
      <c r="C172" t="s">
        <v>1152</v>
      </c>
      <c r="D172" t="s">
        <v>1148</v>
      </c>
      <c r="E172" t="s">
        <v>603</v>
      </c>
      <c r="F172" t="s">
        <v>1149</v>
      </c>
      <c r="G172" t="s">
        <v>1153</v>
      </c>
    </row>
    <row r="173" spans="1:7" x14ac:dyDescent="0.3">
      <c r="A173" t="s">
        <v>602</v>
      </c>
      <c r="B173" t="s">
        <v>1442</v>
      </c>
      <c r="C173" t="s">
        <v>1154</v>
      </c>
      <c r="D173" t="s">
        <v>1148</v>
      </c>
      <c r="E173" t="s">
        <v>603</v>
      </c>
      <c r="F173" t="s">
        <v>1149</v>
      </c>
      <c r="G173" t="s">
        <v>1153</v>
      </c>
    </row>
    <row r="174" spans="1:7" x14ac:dyDescent="0.3">
      <c r="A174" t="s">
        <v>602</v>
      </c>
      <c r="B174" t="s">
        <v>1442</v>
      </c>
      <c r="C174" t="s">
        <v>1155</v>
      </c>
      <c r="D174" t="s">
        <v>1148</v>
      </c>
      <c r="E174" t="s">
        <v>603</v>
      </c>
      <c r="F174" t="s">
        <v>1149</v>
      </c>
      <c r="G174" t="s">
        <v>1153</v>
      </c>
    </row>
    <row r="175" spans="1:7" x14ac:dyDescent="0.3">
      <c r="A175" t="s">
        <v>602</v>
      </c>
      <c r="B175" t="s">
        <v>1442</v>
      </c>
      <c r="C175" t="s">
        <v>1156</v>
      </c>
      <c r="D175" t="s">
        <v>1148</v>
      </c>
      <c r="E175" t="s">
        <v>603</v>
      </c>
      <c r="F175" t="s">
        <v>1149</v>
      </c>
      <c r="G175" t="s">
        <v>1153</v>
      </c>
    </row>
    <row r="176" spans="1:7" x14ac:dyDescent="0.3">
      <c r="A176" t="s">
        <v>602</v>
      </c>
      <c r="B176" t="s">
        <v>1442</v>
      </c>
      <c r="C176" t="s">
        <v>1157</v>
      </c>
      <c r="D176" t="s">
        <v>1148</v>
      </c>
      <c r="E176" t="s">
        <v>603</v>
      </c>
      <c r="F176" t="s">
        <v>1149</v>
      </c>
      <c r="G176" t="s">
        <v>1158</v>
      </c>
    </row>
    <row r="177" spans="1:7" x14ac:dyDescent="0.3">
      <c r="A177" t="s">
        <v>602</v>
      </c>
      <c r="B177" t="s">
        <v>1442</v>
      </c>
      <c r="C177" t="s">
        <v>1159</v>
      </c>
      <c r="D177" t="s">
        <v>1148</v>
      </c>
      <c r="E177" t="s">
        <v>603</v>
      </c>
      <c r="F177" t="s">
        <v>1149</v>
      </c>
      <c r="G177" t="s">
        <v>1158</v>
      </c>
    </row>
    <row r="178" spans="1:7" x14ac:dyDescent="0.3">
      <c r="A178" t="s">
        <v>602</v>
      </c>
      <c r="B178" t="s">
        <v>1442</v>
      </c>
      <c r="C178" t="s">
        <v>1160</v>
      </c>
      <c r="D178" t="s">
        <v>1148</v>
      </c>
      <c r="E178" t="s">
        <v>603</v>
      </c>
      <c r="F178" t="s">
        <v>1149</v>
      </c>
      <c r="G178" t="s">
        <v>1150</v>
      </c>
    </row>
    <row r="179" spans="1:7" x14ac:dyDescent="0.3">
      <c r="A179" t="s">
        <v>602</v>
      </c>
      <c r="B179" t="s">
        <v>1442</v>
      </c>
      <c r="C179" t="s">
        <v>1161</v>
      </c>
      <c r="D179" t="s">
        <v>1148</v>
      </c>
      <c r="E179" t="s">
        <v>603</v>
      </c>
      <c r="F179" t="s">
        <v>1149</v>
      </c>
      <c r="G179" t="s">
        <v>1150</v>
      </c>
    </row>
    <row r="180" spans="1:7" x14ac:dyDescent="0.3">
      <c r="A180" t="s">
        <v>602</v>
      </c>
      <c r="B180" t="s">
        <v>1442</v>
      </c>
      <c r="C180" t="s">
        <v>1162</v>
      </c>
      <c r="D180" t="s">
        <v>1148</v>
      </c>
      <c r="E180" t="s">
        <v>603</v>
      </c>
      <c r="F180" t="s">
        <v>1149</v>
      </c>
      <c r="G180" t="s">
        <v>1150</v>
      </c>
    </row>
    <row r="181" spans="1:7" x14ac:dyDescent="0.3">
      <c r="A181" t="s">
        <v>602</v>
      </c>
      <c r="B181" t="s">
        <v>1442</v>
      </c>
      <c r="C181" t="s">
        <v>1163</v>
      </c>
      <c r="D181" t="s">
        <v>1148</v>
      </c>
      <c r="E181" t="s">
        <v>603</v>
      </c>
      <c r="F181" t="s">
        <v>1149</v>
      </c>
      <c r="G181" t="s">
        <v>1150</v>
      </c>
    </row>
    <row r="182" spans="1:7" x14ac:dyDescent="0.3">
      <c r="A182" t="s">
        <v>602</v>
      </c>
      <c r="B182" t="s">
        <v>1442</v>
      </c>
      <c r="C182" t="s">
        <v>1164</v>
      </c>
      <c r="D182" t="s">
        <v>1148</v>
      </c>
      <c r="E182" t="s">
        <v>603</v>
      </c>
      <c r="F182" t="s">
        <v>1149</v>
      </c>
      <c r="G182" t="s">
        <v>1150</v>
      </c>
    </row>
    <row r="183" spans="1:7" x14ac:dyDescent="0.3">
      <c r="A183" t="s">
        <v>602</v>
      </c>
      <c r="B183" t="s">
        <v>1442</v>
      </c>
      <c r="C183" t="s">
        <v>1165</v>
      </c>
      <c r="D183" t="s">
        <v>1148</v>
      </c>
      <c r="E183" t="s">
        <v>603</v>
      </c>
      <c r="F183" t="s">
        <v>1149</v>
      </c>
      <c r="G183" t="s">
        <v>1150</v>
      </c>
    </row>
    <row r="184" spans="1:7" x14ac:dyDescent="0.3">
      <c r="A184" t="s">
        <v>602</v>
      </c>
      <c r="B184" t="s">
        <v>1442</v>
      </c>
      <c r="C184" t="s">
        <v>1166</v>
      </c>
      <c r="D184" t="s">
        <v>1148</v>
      </c>
      <c r="E184" t="s">
        <v>603</v>
      </c>
      <c r="F184" t="s">
        <v>1149</v>
      </c>
      <c r="G184" t="s">
        <v>1150</v>
      </c>
    </row>
    <row r="185" spans="1:7" x14ac:dyDescent="0.3">
      <c r="A185" t="s">
        <v>602</v>
      </c>
      <c r="B185" t="s">
        <v>1442</v>
      </c>
      <c r="C185" t="s">
        <v>1167</v>
      </c>
      <c r="D185" t="s">
        <v>1148</v>
      </c>
      <c r="E185" t="s">
        <v>603</v>
      </c>
      <c r="F185" t="s">
        <v>1149</v>
      </c>
      <c r="G185" t="s">
        <v>1150</v>
      </c>
    </row>
    <row r="186" spans="1:7" x14ac:dyDescent="0.3">
      <c r="A186" t="s">
        <v>602</v>
      </c>
      <c r="B186" t="s">
        <v>1442</v>
      </c>
      <c r="C186" t="s">
        <v>1168</v>
      </c>
      <c r="D186" t="s">
        <v>1148</v>
      </c>
      <c r="E186" t="s">
        <v>603</v>
      </c>
      <c r="F186" t="s">
        <v>1149</v>
      </c>
      <c r="G186" t="s">
        <v>1150</v>
      </c>
    </row>
    <row r="187" spans="1:7" x14ac:dyDescent="0.3">
      <c r="A187" t="s">
        <v>602</v>
      </c>
      <c r="B187" t="s">
        <v>1442</v>
      </c>
      <c r="C187" t="s">
        <v>1169</v>
      </c>
      <c r="D187" t="s">
        <v>1148</v>
      </c>
      <c r="E187" t="s">
        <v>603</v>
      </c>
      <c r="F187" t="s">
        <v>1149</v>
      </c>
      <c r="G187" t="s">
        <v>1150</v>
      </c>
    </row>
    <row r="188" spans="1:7" x14ac:dyDescent="0.3">
      <c r="A188" t="s">
        <v>602</v>
      </c>
      <c r="B188" t="s">
        <v>1442</v>
      </c>
      <c r="C188" t="s">
        <v>1170</v>
      </c>
      <c r="D188" t="s">
        <v>1148</v>
      </c>
      <c r="E188" t="s">
        <v>603</v>
      </c>
      <c r="F188" t="s">
        <v>1149</v>
      </c>
      <c r="G188" t="s">
        <v>1150</v>
      </c>
    </row>
    <row r="189" spans="1:7" x14ac:dyDescent="0.3">
      <c r="A189" t="s">
        <v>602</v>
      </c>
      <c r="B189" t="s">
        <v>1442</v>
      </c>
      <c r="C189" t="s">
        <v>1171</v>
      </c>
      <c r="D189" t="s">
        <v>1148</v>
      </c>
      <c r="E189" t="s">
        <v>603</v>
      </c>
      <c r="F189" t="s">
        <v>1149</v>
      </c>
      <c r="G189" t="s">
        <v>1150</v>
      </c>
    </row>
    <row r="190" spans="1:7" x14ac:dyDescent="0.3">
      <c r="A190" t="s">
        <v>602</v>
      </c>
      <c r="B190" t="s">
        <v>1442</v>
      </c>
      <c r="C190" t="s">
        <v>1172</v>
      </c>
      <c r="D190" t="s">
        <v>1148</v>
      </c>
      <c r="E190" t="s">
        <v>603</v>
      </c>
      <c r="F190" t="s">
        <v>1149</v>
      </c>
      <c r="G190" t="s">
        <v>1150</v>
      </c>
    </row>
    <row r="191" spans="1:7" x14ac:dyDescent="0.3">
      <c r="A191" t="s">
        <v>602</v>
      </c>
      <c r="B191" t="s">
        <v>1442</v>
      </c>
      <c r="C191" t="s">
        <v>1173</v>
      </c>
      <c r="D191" t="s">
        <v>1148</v>
      </c>
      <c r="E191" t="s">
        <v>603</v>
      </c>
      <c r="F191" t="s">
        <v>1149</v>
      </c>
      <c r="G191" t="s">
        <v>1150</v>
      </c>
    </row>
    <row r="192" spans="1:7" x14ac:dyDescent="0.3">
      <c r="A192" t="s">
        <v>602</v>
      </c>
      <c r="B192" t="s">
        <v>1442</v>
      </c>
      <c r="C192" t="s">
        <v>1174</v>
      </c>
      <c r="D192" t="s">
        <v>1148</v>
      </c>
      <c r="E192" t="s">
        <v>603</v>
      </c>
      <c r="F192" t="s">
        <v>1149</v>
      </c>
      <c r="G192" t="s">
        <v>1150</v>
      </c>
    </row>
    <row r="193" spans="1:7" x14ac:dyDescent="0.3">
      <c r="A193" t="s">
        <v>602</v>
      </c>
      <c r="B193" t="s">
        <v>1442</v>
      </c>
      <c r="C193" t="s">
        <v>1175</v>
      </c>
      <c r="D193" t="s">
        <v>1148</v>
      </c>
      <c r="E193" t="s">
        <v>603</v>
      </c>
      <c r="F193" t="s">
        <v>1149</v>
      </c>
      <c r="G193" t="s">
        <v>1150</v>
      </c>
    </row>
    <row r="194" spans="1:7" x14ac:dyDescent="0.3">
      <c r="A194" t="s">
        <v>602</v>
      </c>
      <c r="B194" t="s">
        <v>1442</v>
      </c>
      <c r="C194" t="s">
        <v>1176</v>
      </c>
      <c r="D194" t="s">
        <v>1148</v>
      </c>
      <c r="E194" t="s">
        <v>603</v>
      </c>
      <c r="F194" t="s">
        <v>1149</v>
      </c>
      <c r="G194" t="s">
        <v>1150</v>
      </c>
    </row>
    <row r="195" spans="1:7" x14ac:dyDescent="0.3">
      <c r="A195" t="s">
        <v>602</v>
      </c>
      <c r="B195" t="s">
        <v>1442</v>
      </c>
      <c r="C195" t="s">
        <v>1177</v>
      </c>
      <c r="D195" t="s">
        <v>1148</v>
      </c>
      <c r="E195" t="s">
        <v>603</v>
      </c>
      <c r="F195" t="s">
        <v>1149</v>
      </c>
      <c r="G195" t="s">
        <v>1150</v>
      </c>
    </row>
    <row r="196" spans="1:7" x14ac:dyDescent="0.3">
      <c r="A196" t="s">
        <v>602</v>
      </c>
      <c r="B196" t="s">
        <v>1442</v>
      </c>
      <c r="C196" t="s">
        <v>1178</v>
      </c>
      <c r="D196" t="s">
        <v>1148</v>
      </c>
      <c r="E196" t="s">
        <v>603</v>
      </c>
      <c r="F196" t="s">
        <v>1149</v>
      </c>
      <c r="G196" t="s">
        <v>1150</v>
      </c>
    </row>
    <row r="197" spans="1:7" x14ac:dyDescent="0.3">
      <c r="A197" t="s">
        <v>602</v>
      </c>
      <c r="B197" t="s">
        <v>1442</v>
      </c>
      <c r="C197" t="s">
        <v>1179</v>
      </c>
      <c r="D197" t="s">
        <v>1148</v>
      </c>
      <c r="E197" t="s">
        <v>603</v>
      </c>
      <c r="F197" t="s">
        <v>1149</v>
      </c>
      <c r="G197" t="s">
        <v>1150</v>
      </c>
    </row>
    <row r="198" spans="1:7" x14ac:dyDescent="0.3">
      <c r="A198" t="s">
        <v>602</v>
      </c>
      <c r="B198" t="s">
        <v>1442</v>
      </c>
      <c r="C198" t="s">
        <v>1180</v>
      </c>
      <c r="D198" t="s">
        <v>1148</v>
      </c>
      <c r="E198" t="s">
        <v>603</v>
      </c>
      <c r="F198" t="s">
        <v>1149</v>
      </c>
      <c r="G198" t="s">
        <v>1150</v>
      </c>
    </row>
    <row r="199" spans="1:7" x14ac:dyDescent="0.3">
      <c r="A199" t="s">
        <v>602</v>
      </c>
      <c r="B199" t="s">
        <v>1442</v>
      </c>
      <c r="C199" t="s">
        <v>1181</v>
      </c>
      <c r="D199" t="s">
        <v>1148</v>
      </c>
      <c r="E199" t="s">
        <v>603</v>
      </c>
      <c r="F199" t="s">
        <v>1149</v>
      </c>
      <c r="G199" t="s">
        <v>1150</v>
      </c>
    </row>
    <row r="200" spans="1:7" x14ac:dyDescent="0.3">
      <c r="A200" t="s">
        <v>602</v>
      </c>
      <c r="B200" t="s">
        <v>1442</v>
      </c>
      <c r="C200" t="s">
        <v>1182</v>
      </c>
      <c r="D200" t="s">
        <v>1148</v>
      </c>
      <c r="E200" t="s">
        <v>603</v>
      </c>
      <c r="F200" t="s">
        <v>1149</v>
      </c>
      <c r="G200" t="s">
        <v>1150</v>
      </c>
    </row>
    <row r="201" spans="1:7" x14ac:dyDescent="0.3">
      <c r="A201" t="s">
        <v>602</v>
      </c>
      <c r="B201" t="s">
        <v>1442</v>
      </c>
      <c r="C201" t="s">
        <v>1183</v>
      </c>
      <c r="D201" t="s">
        <v>1148</v>
      </c>
      <c r="E201" t="s">
        <v>603</v>
      </c>
      <c r="F201" t="s">
        <v>1149</v>
      </c>
      <c r="G201" t="s">
        <v>1150</v>
      </c>
    </row>
    <row r="202" spans="1:7" x14ac:dyDescent="0.3">
      <c r="A202" t="s">
        <v>602</v>
      </c>
      <c r="B202" t="s">
        <v>1442</v>
      </c>
      <c r="C202" t="s">
        <v>1184</v>
      </c>
      <c r="D202" t="s">
        <v>1148</v>
      </c>
      <c r="E202" t="s">
        <v>603</v>
      </c>
      <c r="F202" t="s">
        <v>1149</v>
      </c>
      <c r="G202" t="s">
        <v>1150</v>
      </c>
    </row>
    <row r="203" spans="1:7" x14ac:dyDescent="0.3">
      <c r="A203" t="s">
        <v>602</v>
      </c>
      <c r="B203" t="s">
        <v>1443</v>
      </c>
      <c r="C203" t="s">
        <v>1185</v>
      </c>
      <c r="D203" t="s">
        <v>1148</v>
      </c>
      <c r="E203" t="s">
        <v>603</v>
      </c>
      <c r="F203" t="s">
        <v>1149</v>
      </c>
      <c r="G203" t="s">
        <v>1150</v>
      </c>
    </row>
    <row r="204" spans="1:7" x14ac:dyDescent="0.3">
      <c r="A204" t="s">
        <v>602</v>
      </c>
      <c r="B204" t="s">
        <v>1443</v>
      </c>
      <c r="C204" t="s">
        <v>1186</v>
      </c>
      <c r="D204" t="s">
        <v>1148</v>
      </c>
      <c r="E204" t="s">
        <v>603</v>
      </c>
      <c r="F204" t="s">
        <v>1149</v>
      </c>
      <c r="G204" t="s">
        <v>1150</v>
      </c>
    </row>
    <row r="205" spans="1:7" x14ac:dyDescent="0.3">
      <c r="A205" t="s">
        <v>602</v>
      </c>
      <c r="B205" t="s">
        <v>1443</v>
      </c>
      <c r="C205" t="s">
        <v>1187</v>
      </c>
      <c r="D205" t="s">
        <v>1148</v>
      </c>
      <c r="E205" t="s">
        <v>603</v>
      </c>
      <c r="F205" t="s">
        <v>1149</v>
      </c>
      <c r="G205" t="s">
        <v>1150</v>
      </c>
    </row>
    <row r="206" spans="1:7" x14ac:dyDescent="0.3">
      <c r="A206" t="s">
        <v>602</v>
      </c>
      <c r="B206" t="s">
        <v>1443</v>
      </c>
      <c r="C206" t="s">
        <v>1188</v>
      </c>
      <c r="D206" t="s">
        <v>1148</v>
      </c>
      <c r="E206" t="s">
        <v>603</v>
      </c>
      <c r="F206" t="s">
        <v>1149</v>
      </c>
      <c r="G206" t="s">
        <v>1150</v>
      </c>
    </row>
    <row r="207" spans="1:7" x14ac:dyDescent="0.3">
      <c r="A207" t="s">
        <v>602</v>
      </c>
      <c r="B207" t="s">
        <v>1443</v>
      </c>
      <c r="C207" t="s">
        <v>1189</v>
      </c>
      <c r="D207" t="s">
        <v>1148</v>
      </c>
      <c r="E207" t="s">
        <v>603</v>
      </c>
      <c r="F207" t="s">
        <v>1149</v>
      </c>
      <c r="G207" t="s">
        <v>1150</v>
      </c>
    </row>
    <row r="208" spans="1:7" x14ac:dyDescent="0.3">
      <c r="A208" t="s">
        <v>602</v>
      </c>
      <c r="B208" t="s">
        <v>1442</v>
      </c>
      <c r="C208" t="s">
        <v>1190</v>
      </c>
      <c r="D208" t="s">
        <v>1148</v>
      </c>
      <c r="E208" t="s">
        <v>603</v>
      </c>
      <c r="F208" t="s">
        <v>1149</v>
      </c>
      <c r="G208" t="s">
        <v>1150</v>
      </c>
    </row>
    <row r="209" spans="1:7" x14ac:dyDescent="0.3">
      <c r="A209" t="s">
        <v>602</v>
      </c>
      <c r="B209" t="s">
        <v>1442</v>
      </c>
      <c r="C209" t="s">
        <v>1191</v>
      </c>
      <c r="D209" t="s">
        <v>1148</v>
      </c>
      <c r="E209" t="s">
        <v>603</v>
      </c>
      <c r="F209" t="s">
        <v>1149</v>
      </c>
      <c r="G209" t="s">
        <v>1150</v>
      </c>
    </row>
    <row r="210" spans="1:7" x14ac:dyDescent="0.3">
      <c r="A210" t="s">
        <v>602</v>
      </c>
      <c r="B210" t="s">
        <v>1442</v>
      </c>
      <c r="C210" t="s">
        <v>1192</v>
      </c>
      <c r="D210" t="s">
        <v>1148</v>
      </c>
      <c r="E210" t="s">
        <v>603</v>
      </c>
      <c r="F210" t="s">
        <v>1149</v>
      </c>
      <c r="G210" t="s">
        <v>1153</v>
      </c>
    </row>
    <row r="211" spans="1:7" x14ac:dyDescent="0.3">
      <c r="A211" t="s">
        <v>602</v>
      </c>
      <c r="B211" t="s">
        <v>1442</v>
      </c>
      <c r="C211" t="s">
        <v>1193</v>
      </c>
      <c r="D211" t="s">
        <v>1148</v>
      </c>
      <c r="E211" t="s">
        <v>603</v>
      </c>
      <c r="F211" t="s">
        <v>1149</v>
      </c>
      <c r="G211" t="s">
        <v>1153</v>
      </c>
    </row>
    <row r="212" spans="1:7" x14ac:dyDescent="0.3">
      <c r="A212" t="s">
        <v>602</v>
      </c>
      <c r="B212" t="s">
        <v>1442</v>
      </c>
      <c r="C212" t="s">
        <v>1194</v>
      </c>
      <c r="D212" t="s">
        <v>1148</v>
      </c>
      <c r="E212" t="s">
        <v>603</v>
      </c>
      <c r="F212" t="s">
        <v>1149</v>
      </c>
      <c r="G212" t="s">
        <v>1158</v>
      </c>
    </row>
    <row r="213" spans="1:7" x14ac:dyDescent="0.3">
      <c r="A213" t="s">
        <v>602</v>
      </c>
      <c r="B213" t="s">
        <v>1442</v>
      </c>
      <c r="C213" t="s">
        <v>1195</v>
      </c>
      <c r="D213" t="s">
        <v>1148</v>
      </c>
      <c r="E213" t="s">
        <v>603</v>
      </c>
      <c r="F213" t="s">
        <v>1149</v>
      </c>
      <c r="G213" t="s">
        <v>1158</v>
      </c>
    </row>
    <row r="214" spans="1:7" x14ac:dyDescent="0.3">
      <c r="A214" t="s">
        <v>602</v>
      </c>
      <c r="B214" t="s">
        <v>1442</v>
      </c>
      <c r="C214" t="s">
        <v>1196</v>
      </c>
      <c r="D214" t="s">
        <v>1148</v>
      </c>
      <c r="E214" t="s">
        <v>603</v>
      </c>
      <c r="F214" t="s">
        <v>1149</v>
      </c>
      <c r="G214" t="s">
        <v>1158</v>
      </c>
    </row>
    <row r="215" spans="1:7" x14ac:dyDescent="0.3">
      <c r="A215" t="s">
        <v>602</v>
      </c>
      <c r="B215" t="s">
        <v>1442</v>
      </c>
      <c r="C215" t="s">
        <v>1197</v>
      </c>
      <c r="D215" t="s">
        <v>1148</v>
      </c>
      <c r="E215" t="s">
        <v>603</v>
      </c>
      <c r="F215" t="s">
        <v>1149</v>
      </c>
      <c r="G215" t="s">
        <v>1158</v>
      </c>
    </row>
    <row r="216" spans="1:7" x14ac:dyDescent="0.3">
      <c r="A216" t="s">
        <v>602</v>
      </c>
      <c r="B216" t="s">
        <v>1442</v>
      </c>
      <c r="C216" t="s">
        <v>1198</v>
      </c>
      <c r="D216" t="s">
        <v>1148</v>
      </c>
      <c r="E216" t="s">
        <v>603</v>
      </c>
      <c r="F216" t="s">
        <v>1149</v>
      </c>
      <c r="G216" t="s">
        <v>1158</v>
      </c>
    </row>
    <row r="217" spans="1:7" hidden="1" x14ac:dyDescent="0.3">
      <c r="A217" t="s">
        <v>1199</v>
      </c>
    </row>
    <row r="218" spans="1:7" x14ac:dyDescent="0.3">
      <c r="A218" t="s">
        <v>1200</v>
      </c>
      <c r="B218" t="s">
        <v>1442</v>
      </c>
      <c r="C218" t="s">
        <v>1201</v>
      </c>
      <c r="D218" t="s">
        <v>1202</v>
      </c>
      <c r="E218" t="s">
        <v>603</v>
      </c>
      <c r="F218" t="s">
        <v>1203</v>
      </c>
      <c r="G218" t="s">
        <v>1204</v>
      </c>
    </row>
    <row r="219" spans="1:7" x14ac:dyDescent="0.3">
      <c r="A219" t="s">
        <v>1200</v>
      </c>
      <c r="B219" t="s">
        <v>1442</v>
      </c>
      <c r="C219" t="s">
        <v>1205</v>
      </c>
      <c r="D219" t="s">
        <v>1206</v>
      </c>
      <c r="E219" t="s">
        <v>603</v>
      </c>
      <c r="F219" t="s">
        <v>1203</v>
      </c>
      <c r="G219" t="s">
        <v>1204</v>
      </c>
    </row>
    <row r="220" spans="1:7" x14ac:dyDescent="0.3">
      <c r="A220" t="s">
        <v>1200</v>
      </c>
      <c r="B220" t="s">
        <v>1442</v>
      </c>
      <c r="C220" t="s">
        <v>1207</v>
      </c>
      <c r="D220" t="s">
        <v>1208</v>
      </c>
      <c r="E220" t="s">
        <v>603</v>
      </c>
      <c r="F220" t="s">
        <v>1203</v>
      </c>
      <c r="G220" t="s">
        <v>1209</v>
      </c>
    </row>
    <row r="221" spans="1:7" x14ac:dyDescent="0.3">
      <c r="A221" t="s">
        <v>1200</v>
      </c>
      <c r="B221" t="s">
        <v>1442</v>
      </c>
      <c r="C221" t="s">
        <v>1210</v>
      </c>
      <c r="D221" t="s">
        <v>1208</v>
      </c>
      <c r="E221" t="s">
        <v>603</v>
      </c>
      <c r="F221" t="s">
        <v>1203</v>
      </c>
      <c r="G221" t="s">
        <v>1209</v>
      </c>
    </row>
    <row r="222" spans="1:7" x14ac:dyDescent="0.3">
      <c r="A222" t="s">
        <v>1200</v>
      </c>
      <c r="B222" t="s">
        <v>1442</v>
      </c>
      <c r="C222" t="s">
        <v>1211</v>
      </c>
      <c r="D222" t="s">
        <v>1212</v>
      </c>
      <c r="E222" t="s">
        <v>603</v>
      </c>
      <c r="F222" t="s">
        <v>1203</v>
      </c>
      <c r="G222" t="s">
        <v>1209</v>
      </c>
    </row>
    <row r="223" spans="1:7" x14ac:dyDescent="0.3">
      <c r="A223" t="s">
        <v>1200</v>
      </c>
      <c r="B223" t="s">
        <v>1442</v>
      </c>
      <c r="C223" t="s">
        <v>1213</v>
      </c>
      <c r="D223" t="s">
        <v>1212</v>
      </c>
      <c r="E223" t="s">
        <v>603</v>
      </c>
      <c r="F223" t="s">
        <v>1203</v>
      </c>
      <c r="G223" t="s">
        <v>1209</v>
      </c>
    </row>
    <row r="224" spans="1:7" x14ac:dyDescent="0.3">
      <c r="A224" t="s">
        <v>1200</v>
      </c>
      <c r="B224" t="s">
        <v>1442</v>
      </c>
      <c r="C224" t="s">
        <v>1214</v>
      </c>
      <c r="D224" t="s">
        <v>1215</v>
      </c>
      <c r="E224" t="s">
        <v>603</v>
      </c>
      <c r="F224" t="s">
        <v>1203</v>
      </c>
      <c r="G224" t="s">
        <v>1216</v>
      </c>
    </row>
    <row r="225" spans="1:7" x14ac:dyDescent="0.3">
      <c r="A225" t="s">
        <v>1200</v>
      </c>
      <c r="B225" t="s">
        <v>1442</v>
      </c>
      <c r="C225" t="s">
        <v>1217</v>
      </c>
      <c r="D225" t="s">
        <v>1215</v>
      </c>
      <c r="E225" t="s">
        <v>603</v>
      </c>
      <c r="F225" t="s">
        <v>1203</v>
      </c>
      <c r="G225" t="s">
        <v>1216</v>
      </c>
    </row>
    <row r="226" spans="1:7" x14ac:dyDescent="0.3">
      <c r="A226" t="s">
        <v>1200</v>
      </c>
      <c r="B226" t="s">
        <v>1442</v>
      </c>
      <c r="C226" t="s">
        <v>1218</v>
      </c>
      <c r="D226" t="s">
        <v>1219</v>
      </c>
      <c r="E226" t="s">
        <v>603</v>
      </c>
      <c r="F226" t="s">
        <v>1203</v>
      </c>
      <c r="G226" t="s">
        <v>1204</v>
      </c>
    </row>
    <row r="227" spans="1:7" x14ac:dyDescent="0.3">
      <c r="A227" t="s">
        <v>1200</v>
      </c>
      <c r="B227" t="s">
        <v>1442</v>
      </c>
      <c r="C227" t="s">
        <v>1220</v>
      </c>
      <c r="D227" t="s">
        <v>1219</v>
      </c>
      <c r="E227" t="s">
        <v>603</v>
      </c>
      <c r="F227" t="s">
        <v>1203</v>
      </c>
      <c r="G227" t="s">
        <v>1204</v>
      </c>
    </row>
    <row r="228" spans="1:7" x14ac:dyDescent="0.3">
      <c r="A228" t="s">
        <v>1200</v>
      </c>
      <c r="B228" t="s">
        <v>1442</v>
      </c>
      <c r="C228" t="s">
        <v>1221</v>
      </c>
      <c r="D228" t="s">
        <v>1219</v>
      </c>
      <c r="E228" t="s">
        <v>603</v>
      </c>
      <c r="F228" t="s">
        <v>1203</v>
      </c>
      <c r="G228" t="s">
        <v>1204</v>
      </c>
    </row>
    <row r="229" spans="1:7" x14ac:dyDescent="0.3">
      <c r="A229" t="s">
        <v>1200</v>
      </c>
      <c r="B229" t="s">
        <v>1442</v>
      </c>
      <c r="C229" t="s">
        <v>1222</v>
      </c>
      <c r="D229" t="s">
        <v>1219</v>
      </c>
      <c r="E229" t="s">
        <v>603</v>
      </c>
      <c r="F229" t="s">
        <v>1203</v>
      </c>
      <c r="G229" t="s">
        <v>1204</v>
      </c>
    </row>
    <row r="230" spans="1:7" x14ac:dyDescent="0.3">
      <c r="A230" t="s">
        <v>1200</v>
      </c>
      <c r="B230" t="s">
        <v>1442</v>
      </c>
      <c r="C230" t="s">
        <v>1223</v>
      </c>
      <c r="D230" t="s">
        <v>1224</v>
      </c>
      <c r="E230" t="s">
        <v>603</v>
      </c>
      <c r="F230" t="s">
        <v>1203</v>
      </c>
      <c r="G230" t="s">
        <v>1204</v>
      </c>
    </row>
    <row r="231" spans="1:7" x14ac:dyDescent="0.3">
      <c r="A231" t="s">
        <v>1200</v>
      </c>
      <c r="B231" t="s">
        <v>1442</v>
      </c>
      <c r="C231" t="s">
        <v>1225</v>
      </c>
      <c r="D231" t="s">
        <v>1224</v>
      </c>
      <c r="E231" t="s">
        <v>603</v>
      </c>
      <c r="F231" t="s">
        <v>1203</v>
      </c>
      <c r="G231" t="s">
        <v>1204</v>
      </c>
    </row>
    <row r="232" spans="1:7" x14ac:dyDescent="0.3">
      <c r="A232" t="s">
        <v>1200</v>
      </c>
      <c r="B232" t="s">
        <v>1442</v>
      </c>
      <c r="C232" t="s">
        <v>1226</v>
      </c>
      <c r="D232" t="s">
        <v>1224</v>
      </c>
      <c r="E232" t="s">
        <v>603</v>
      </c>
      <c r="F232" t="s">
        <v>1203</v>
      </c>
      <c r="G232" t="s">
        <v>1204</v>
      </c>
    </row>
    <row r="233" spans="1:7" x14ac:dyDescent="0.3">
      <c r="A233" t="s">
        <v>1200</v>
      </c>
      <c r="B233" t="s">
        <v>1442</v>
      </c>
      <c r="C233" t="s">
        <v>1227</v>
      </c>
      <c r="D233" t="s">
        <v>1224</v>
      </c>
      <c r="E233" t="s">
        <v>603</v>
      </c>
      <c r="F233" t="s">
        <v>1203</v>
      </c>
      <c r="G233" t="s">
        <v>1204</v>
      </c>
    </row>
    <row r="234" spans="1:7" x14ac:dyDescent="0.3">
      <c r="A234" t="s">
        <v>1200</v>
      </c>
      <c r="B234" t="s">
        <v>1442</v>
      </c>
      <c r="C234" t="s">
        <v>1228</v>
      </c>
      <c r="D234" t="s">
        <v>1229</v>
      </c>
      <c r="E234" t="s">
        <v>603</v>
      </c>
      <c r="F234" t="s">
        <v>1203</v>
      </c>
      <c r="G234" t="s">
        <v>1204</v>
      </c>
    </row>
    <row r="235" spans="1:7" x14ac:dyDescent="0.3">
      <c r="A235" t="s">
        <v>1200</v>
      </c>
      <c r="B235" t="s">
        <v>1442</v>
      </c>
      <c r="C235" t="s">
        <v>1230</v>
      </c>
      <c r="D235" t="s">
        <v>1229</v>
      </c>
      <c r="E235" t="s">
        <v>603</v>
      </c>
      <c r="F235" t="s">
        <v>1203</v>
      </c>
      <c r="G235" t="s">
        <v>1204</v>
      </c>
    </row>
    <row r="236" spans="1:7" x14ac:dyDescent="0.3">
      <c r="A236" t="s">
        <v>1200</v>
      </c>
      <c r="B236" t="s">
        <v>1442</v>
      </c>
      <c r="C236" t="s">
        <v>1231</v>
      </c>
      <c r="D236" t="s">
        <v>1229</v>
      </c>
      <c r="E236" t="s">
        <v>603</v>
      </c>
      <c r="F236" t="s">
        <v>1203</v>
      </c>
      <c r="G236" t="s">
        <v>1204</v>
      </c>
    </row>
    <row r="237" spans="1:7" x14ac:dyDescent="0.3">
      <c r="A237" t="s">
        <v>1200</v>
      </c>
      <c r="B237" t="s">
        <v>1442</v>
      </c>
      <c r="C237" t="s">
        <v>1232</v>
      </c>
      <c r="D237" t="s">
        <v>1229</v>
      </c>
      <c r="E237" t="s">
        <v>603</v>
      </c>
      <c r="F237" t="s">
        <v>1203</v>
      </c>
      <c r="G237" t="s">
        <v>1204</v>
      </c>
    </row>
    <row r="238" spans="1:7" x14ac:dyDescent="0.3">
      <c r="A238" t="s">
        <v>1200</v>
      </c>
      <c r="B238" t="s">
        <v>1442</v>
      </c>
      <c r="C238" t="s">
        <v>1233</v>
      </c>
      <c r="D238" t="s">
        <v>1234</v>
      </c>
      <c r="E238" t="s">
        <v>603</v>
      </c>
      <c r="F238" t="s">
        <v>1203</v>
      </c>
      <c r="G238" t="s">
        <v>1204</v>
      </c>
    </row>
    <row r="239" spans="1:7" x14ac:dyDescent="0.3">
      <c r="A239" t="s">
        <v>1200</v>
      </c>
      <c r="B239" t="s">
        <v>1442</v>
      </c>
      <c r="C239" t="s">
        <v>1235</v>
      </c>
      <c r="D239" t="s">
        <v>1234</v>
      </c>
      <c r="E239" t="s">
        <v>603</v>
      </c>
      <c r="F239" t="s">
        <v>1203</v>
      </c>
      <c r="G239" t="s">
        <v>1204</v>
      </c>
    </row>
    <row r="240" spans="1:7" x14ac:dyDescent="0.3">
      <c r="A240" t="s">
        <v>1200</v>
      </c>
      <c r="B240" t="s">
        <v>1442</v>
      </c>
      <c r="C240" t="s">
        <v>1236</v>
      </c>
      <c r="D240" t="s">
        <v>1234</v>
      </c>
      <c r="E240" t="s">
        <v>603</v>
      </c>
      <c r="F240" t="s">
        <v>1203</v>
      </c>
      <c r="G240" t="s">
        <v>1204</v>
      </c>
    </row>
    <row r="241" spans="1:7" x14ac:dyDescent="0.3">
      <c r="A241" t="s">
        <v>1200</v>
      </c>
      <c r="B241" t="s">
        <v>1442</v>
      </c>
      <c r="C241" t="s">
        <v>1237</v>
      </c>
      <c r="D241" t="s">
        <v>1234</v>
      </c>
      <c r="E241" t="s">
        <v>603</v>
      </c>
      <c r="F241" t="s">
        <v>1203</v>
      </c>
      <c r="G241" t="s">
        <v>1204</v>
      </c>
    </row>
    <row r="242" spans="1:7" x14ac:dyDescent="0.3">
      <c r="A242" t="s">
        <v>1200</v>
      </c>
      <c r="B242" t="s">
        <v>1442</v>
      </c>
      <c r="C242" t="s">
        <v>1238</v>
      </c>
      <c r="D242" t="s">
        <v>1239</v>
      </c>
      <c r="E242" t="s">
        <v>603</v>
      </c>
      <c r="F242" t="s">
        <v>1203</v>
      </c>
      <c r="G242" t="s">
        <v>1204</v>
      </c>
    </row>
    <row r="243" spans="1:7" x14ac:dyDescent="0.3">
      <c r="A243" t="s">
        <v>1200</v>
      </c>
      <c r="B243" t="s">
        <v>1442</v>
      </c>
      <c r="C243" t="s">
        <v>1240</v>
      </c>
      <c r="D243" t="s">
        <v>1239</v>
      </c>
      <c r="E243" t="s">
        <v>603</v>
      </c>
      <c r="F243" t="s">
        <v>1203</v>
      </c>
      <c r="G243" t="s">
        <v>1204</v>
      </c>
    </row>
    <row r="244" spans="1:7" x14ac:dyDescent="0.3">
      <c r="A244" t="s">
        <v>1200</v>
      </c>
      <c r="B244" t="s">
        <v>1442</v>
      </c>
      <c r="C244" t="s">
        <v>1241</v>
      </c>
      <c r="D244" t="s">
        <v>1239</v>
      </c>
      <c r="E244" t="s">
        <v>603</v>
      </c>
      <c r="F244" t="s">
        <v>1203</v>
      </c>
      <c r="G244" t="s">
        <v>1204</v>
      </c>
    </row>
    <row r="245" spans="1:7" x14ac:dyDescent="0.3">
      <c r="A245" t="s">
        <v>1200</v>
      </c>
      <c r="B245" t="s">
        <v>1442</v>
      </c>
      <c r="C245" t="s">
        <v>1242</v>
      </c>
      <c r="D245" t="s">
        <v>1239</v>
      </c>
      <c r="E245" t="s">
        <v>603</v>
      </c>
      <c r="F245" t="s">
        <v>1203</v>
      </c>
      <c r="G245" t="s">
        <v>1204</v>
      </c>
    </row>
    <row r="246" spans="1:7" x14ac:dyDescent="0.3">
      <c r="A246" t="s">
        <v>1200</v>
      </c>
      <c r="B246" t="s">
        <v>1442</v>
      </c>
      <c r="C246" t="s">
        <v>1243</v>
      </c>
      <c r="D246" t="s">
        <v>1244</v>
      </c>
      <c r="E246" t="s">
        <v>603</v>
      </c>
      <c r="F246" t="s">
        <v>1203</v>
      </c>
      <c r="G246" t="s">
        <v>1204</v>
      </c>
    </row>
    <row r="247" spans="1:7" x14ac:dyDescent="0.3">
      <c r="A247" t="s">
        <v>1200</v>
      </c>
      <c r="B247" t="s">
        <v>1442</v>
      </c>
      <c r="C247" t="s">
        <v>1245</v>
      </c>
      <c r="D247" t="s">
        <v>1244</v>
      </c>
      <c r="E247" t="s">
        <v>603</v>
      </c>
      <c r="F247" t="s">
        <v>1203</v>
      </c>
      <c r="G247" t="s">
        <v>1204</v>
      </c>
    </row>
    <row r="248" spans="1:7" x14ac:dyDescent="0.3">
      <c r="A248" t="s">
        <v>1200</v>
      </c>
      <c r="B248" t="s">
        <v>1442</v>
      </c>
      <c r="C248" t="s">
        <v>1246</v>
      </c>
      <c r="D248" t="s">
        <v>1244</v>
      </c>
      <c r="E248" t="s">
        <v>603</v>
      </c>
      <c r="F248" t="s">
        <v>1203</v>
      </c>
      <c r="G248" t="s">
        <v>1204</v>
      </c>
    </row>
    <row r="249" spans="1:7" x14ac:dyDescent="0.3">
      <c r="A249" t="s">
        <v>1200</v>
      </c>
      <c r="B249" t="s">
        <v>1442</v>
      </c>
      <c r="C249" t="s">
        <v>1247</v>
      </c>
      <c r="D249" t="s">
        <v>1244</v>
      </c>
      <c r="E249" t="s">
        <v>603</v>
      </c>
      <c r="F249" t="s">
        <v>1203</v>
      </c>
      <c r="G249" t="s">
        <v>1204</v>
      </c>
    </row>
    <row r="250" spans="1:7" x14ac:dyDescent="0.3">
      <c r="A250" t="s">
        <v>1200</v>
      </c>
      <c r="B250" t="s">
        <v>1442</v>
      </c>
      <c r="C250" t="s">
        <v>1248</v>
      </c>
      <c r="D250" t="s">
        <v>1244</v>
      </c>
      <c r="E250" t="s">
        <v>603</v>
      </c>
      <c r="F250" t="s">
        <v>1203</v>
      </c>
      <c r="G250" t="s">
        <v>1204</v>
      </c>
    </row>
    <row r="251" spans="1:7" x14ac:dyDescent="0.3">
      <c r="A251" t="s">
        <v>1200</v>
      </c>
      <c r="B251" t="s">
        <v>1443</v>
      </c>
      <c r="C251" t="s">
        <v>1249</v>
      </c>
      <c r="D251" t="s">
        <v>1250</v>
      </c>
      <c r="E251" t="s">
        <v>603</v>
      </c>
      <c r="F251" t="s">
        <v>1203</v>
      </c>
      <c r="G251" t="s">
        <v>1204</v>
      </c>
    </row>
    <row r="252" spans="1:7" x14ac:dyDescent="0.3">
      <c r="A252" t="s">
        <v>1200</v>
      </c>
      <c r="B252" t="s">
        <v>1443</v>
      </c>
      <c r="C252" t="s">
        <v>1251</v>
      </c>
      <c r="D252" t="s">
        <v>1250</v>
      </c>
      <c r="E252" t="s">
        <v>603</v>
      </c>
      <c r="F252" t="s">
        <v>1203</v>
      </c>
      <c r="G252" t="s">
        <v>1204</v>
      </c>
    </row>
    <row r="253" spans="1:7" x14ac:dyDescent="0.3">
      <c r="A253" t="s">
        <v>1200</v>
      </c>
      <c r="B253" t="s">
        <v>1443</v>
      </c>
      <c r="C253" t="s">
        <v>1252</v>
      </c>
      <c r="D253" t="s">
        <v>1250</v>
      </c>
      <c r="E253" t="s">
        <v>603</v>
      </c>
      <c r="F253" t="s">
        <v>1203</v>
      </c>
      <c r="G253" t="s">
        <v>1204</v>
      </c>
    </row>
    <row r="254" spans="1:7" x14ac:dyDescent="0.3">
      <c r="A254" t="s">
        <v>1200</v>
      </c>
      <c r="B254" t="s">
        <v>1443</v>
      </c>
      <c r="C254" t="s">
        <v>1253</v>
      </c>
      <c r="D254" t="s">
        <v>1250</v>
      </c>
      <c r="E254" t="s">
        <v>603</v>
      </c>
      <c r="F254" t="s">
        <v>1203</v>
      </c>
      <c r="G254" t="s">
        <v>1204</v>
      </c>
    </row>
    <row r="255" spans="1:7" x14ac:dyDescent="0.3">
      <c r="A255" t="s">
        <v>1200</v>
      </c>
      <c r="B255" t="s">
        <v>1443</v>
      </c>
      <c r="C255" t="s">
        <v>1254</v>
      </c>
      <c r="D255" t="s">
        <v>1250</v>
      </c>
      <c r="E255" t="s">
        <v>603</v>
      </c>
      <c r="F255" t="s">
        <v>1203</v>
      </c>
      <c r="G255" t="s">
        <v>1204</v>
      </c>
    </row>
    <row r="256" spans="1:7" x14ac:dyDescent="0.3">
      <c r="A256" t="s">
        <v>1200</v>
      </c>
      <c r="B256" t="s">
        <v>1442</v>
      </c>
      <c r="C256" t="s">
        <v>1255</v>
      </c>
      <c r="D256" t="s">
        <v>1256</v>
      </c>
      <c r="E256" t="s">
        <v>603</v>
      </c>
      <c r="F256" t="s">
        <v>1203</v>
      </c>
      <c r="G256" t="s">
        <v>1204</v>
      </c>
    </row>
    <row r="257" spans="1:7" x14ac:dyDescent="0.3">
      <c r="A257" t="s">
        <v>1200</v>
      </c>
      <c r="B257" t="s">
        <v>1442</v>
      </c>
      <c r="C257" t="s">
        <v>1257</v>
      </c>
      <c r="D257" t="s">
        <v>1258</v>
      </c>
      <c r="E257" t="s">
        <v>603</v>
      </c>
      <c r="F257" t="s">
        <v>1203</v>
      </c>
      <c r="G257" t="s">
        <v>1204</v>
      </c>
    </row>
    <row r="258" spans="1:7" x14ac:dyDescent="0.3">
      <c r="A258" t="s">
        <v>1200</v>
      </c>
      <c r="B258" t="s">
        <v>1442</v>
      </c>
      <c r="C258" t="s">
        <v>1259</v>
      </c>
      <c r="D258" t="s">
        <v>1260</v>
      </c>
      <c r="E258" t="s">
        <v>603</v>
      </c>
      <c r="F258" t="s">
        <v>1203</v>
      </c>
      <c r="G258" t="s">
        <v>1209</v>
      </c>
    </row>
    <row r="259" spans="1:7" x14ac:dyDescent="0.3">
      <c r="A259" t="s">
        <v>1200</v>
      </c>
      <c r="B259" t="s">
        <v>1442</v>
      </c>
      <c r="C259" t="s">
        <v>1261</v>
      </c>
      <c r="D259" t="s">
        <v>1260</v>
      </c>
      <c r="E259" t="s">
        <v>603</v>
      </c>
      <c r="F259" t="s">
        <v>1203</v>
      </c>
      <c r="G259" t="s">
        <v>1209</v>
      </c>
    </row>
    <row r="260" spans="1:7" x14ac:dyDescent="0.3">
      <c r="A260" t="s">
        <v>1200</v>
      </c>
      <c r="B260" t="s">
        <v>1442</v>
      </c>
      <c r="C260" t="s">
        <v>1262</v>
      </c>
      <c r="D260" t="s">
        <v>1263</v>
      </c>
      <c r="E260" t="s">
        <v>603</v>
      </c>
      <c r="F260" t="s">
        <v>1203</v>
      </c>
      <c r="G260" t="s">
        <v>1216</v>
      </c>
    </row>
    <row r="261" spans="1:7" x14ac:dyDescent="0.3">
      <c r="A261" t="s">
        <v>1200</v>
      </c>
      <c r="B261" t="s">
        <v>1442</v>
      </c>
      <c r="C261" t="s">
        <v>1264</v>
      </c>
      <c r="D261" t="s">
        <v>1263</v>
      </c>
      <c r="E261" t="s">
        <v>603</v>
      </c>
      <c r="F261" t="s">
        <v>1203</v>
      </c>
      <c r="G261" t="s">
        <v>1216</v>
      </c>
    </row>
    <row r="262" spans="1:7" x14ac:dyDescent="0.3">
      <c r="A262" t="s">
        <v>1200</v>
      </c>
      <c r="B262" t="s">
        <v>1442</v>
      </c>
      <c r="C262" t="s">
        <v>1265</v>
      </c>
      <c r="D262" t="s">
        <v>1263</v>
      </c>
      <c r="E262" t="s">
        <v>603</v>
      </c>
      <c r="F262" t="s">
        <v>1203</v>
      </c>
      <c r="G262" t="s">
        <v>1216</v>
      </c>
    </row>
    <row r="263" spans="1:7" x14ac:dyDescent="0.3">
      <c r="A263" t="s">
        <v>1200</v>
      </c>
      <c r="B263" t="s">
        <v>1442</v>
      </c>
      <c r="C263" t="s">
        <v>1266</v>
      </c>
      <c r="D263" t="s">
        <v>1263</v>
      </c>
      <c r="E263" t="s">
        <v>603</v>
      </c>
      <c r="F263" t="s">
        <v>1203</v>
      </c>
      <c r="G263" t="s">
        <v>1216</v>
      </c>
    </row>
    <row r="264" spans="1:7" x14ac:dyDescent="0.3">
      <c r="A264" t="s">
        <v>1200</v>
      </c>
      <c r="B264" t="s">
        <v>1442</v>
      </c>
      <c r="C264" t="s">
        <v>1267</v>
      </c>
      <c r="D264" t="s">
        <v>1263</v>
      </c>
      <c r="E264" t="s">
        <v>603</v>
      </c>
      <c r="F264" t="s">
        <v>1203</v>
      </c>
      <c r="G264" t="s">
        <v>1216</v>
      </c>
    </row>
    <row r="265" spans="1:7" hidden="1" x14ac:dyDescent="0.3">
      <c r="A265" t="s">
        <v>1268</v>
      </c>
    </row>
    <row r="266" spans="1:7" x14ac:dyDescent="0.3">
      <c r="A266" t="s">
        <v>1269</v>
      </c>
      <c r="B266" t="s">
        <v>1442</v>
      </c>
      <c r="C266" t="s">
        <v>1270</v>
      </c>
      <c r="D266" t="s">
        <v>1202</v>
      </c>
      <c r="E266" t="s">
        <v>1271</v>
      </c>
      <c r="F266" t="s">
        <v>597</v>
      </c>
      <c r="G266" t="s">
        <v>597</v>
      </c>
    </row>
    <row r="267" spans="1:7" x14ac:dyDescent="0.3">
      <c r="A267" t="s">
        <v>1269</v>
      </c>
      <c r="B267" t="s">
        <v>1442</v>
      </c>
      <c r="C267" t="s">
        <v>1272</v>
      </c>
      <c r="D267" t="s">
        <v>1206</v>
      </c>
      <c r="E267" t="s">
        <v>1271</v>
      </c>
      <c r="F267" t="s">
        <v>597</v>
      </c>
      <c r="G267" t="s">
        <v>597</v>
      </c>
    </row>
    <row r="268" spans="1:7" x14ac:dyDescent="0.3">
      <c r="A268" t="s">
        <v>1269</v>
      </c>
      <c r="B268" t="s">
        <v>1442</v>
      </c>
      <c r="C268" t="s">
        <v>1273</v>
      </c>
      <c r="D268" t="s">
        <v>1208</v>
      </c>
      <c r="E268" t="s">
        <v>1271</v>
      </c>
      <c r="F268" t="s">
        <v>597</v>
      </c>
      <c r="G268" t="s">
        <v>597</v>
      </c>
    </row>
    <row r="269" spans="1:7" x14ac:dyDescent="0.3">
      <c r="A269" t="s">
        <v>1269</v>
      </c>
      <c r="B269" t="s">
        <v>1442</v>
      </c>
      <c r="C269" t="s">
        <v>1274</v>
      </c>
      <c r="D269" t="s">
        <v>1208</v>
      </c>
      <c r="E269" t="s">
        <v>1271</v>
      </c>
      <c r="F269" t="s">
        <v>597</v>
      </c>
      <c r="G269" t="s">
        <v>597</v>
      </c>
    </row>
    <row r="270" spans="1:7" x14ac:dyDescent="0.3">
      <c r="A270" t="s">
        <v>1269</v>
      </c>
      <c r="B270" t="s">
        <v>1442</v>
      </c>
      <c r="C270" t="s">
        <v>1275</v>
      </c>
      <c r="D270" t="s">
        <v>1208</v>
      </c>
      <c r="E270" t="s">
        <v>1271</v>
      </c>
      <c r="F270" t="s">
        <v>597</v>
      </c>
      <c r="G270" t="s">
        <v>597</v>
      </c>
    </row>
    <row r="271" spans="1:7" x14ac:dyDescent="0.3">
      <c r="A271" t="s">
        <v>1269</v>
      </c>
      <c r="B271" t="s">
        <v>1442</v>
      </c>
      <c r="C271" t="s">
        <v>1276</v>
      </c>
      <c r="D271" t="s">
        <v>1212</v>
      </c>
      <c r="E271" t="s">
        <v>1271</v>
      </c>
      <c r="F271" t="s">
        <v>597</v>
      </c>
      <c r="G271" t="s">
        <v>597</v>
      </c>
    </row>
    <row r="272" spans="1:7" x14ac:dyDescent="0.3">
      <c r="A272" t="s">
        <v>1269</v>
      </c>
      <c r="B272" t="s">
        <v>1442</v>
      </c>
      <c r="C272" t="s">
        <v>1277</v>
      </c>
      <c r="D272" t="s">
        <v>1212</v>
      </c>
      <c r="E272" t="s">
        <v>1271</v>
      </c>
      <c r="F272" t="s">
        <v>597</v>
      </c>
      <c r="G272" t="s">
        <v>597</v>
      </c>
    </row>
    <row r="273" spans="1:7" x14ac:dyDescent="0.3">
      <c r="A273" t="s">
        <v>1269</v>
      </c>
      <c r="B273" t="s">
        <v>1442</v>
      </c>
      <c r="C273" t="s">
        <v>1278</v>
      </c>
      <c r="D273" t="s">
        <v>1212</v>
      </c>
      <c r="E273" t="s">
        <v>1271</v>
      </c>
      <c r="F273" t="s">
        <v>597</v>
      </c>
      <c r="G273" t="s">
        <v>597</v>
      </c>
    </row>
    <row r="274" spans="1:7" x14ac:dyDescent="0.3">
      <c r="A274" t="s">
        <v>1269</v>
      </c>
      <c r="B274" t="s">
        <v>1442</v>
      </c>
      <c r="C274" t="s">
        <v>1279</v>
      </c>
      <c r="D274" t="s">
        <v>1215</v>
      </c>
      <c r="E274" t="s">
        <v>1271</v>
      </c>
      <c r="F274" t="s">
        <v>597</v>
      </c>
      <c r="G274" t="s">
        <v>597</v>
      </c>
    </row>
    <row r="275" spans="1:7" x14ac:dyDescent="0.3">
      <c r="A275" t="s">
        <v>1269</v>
      </c>
      <c r="B275" t="s">
        <v>1442</v>
      </c>
      <c r="C275" t="s">
        <v>1280</v>
      </c>
      <c r="D275" t="s">
        <v>1215</v>
      </c>
      <c r="E275" t="s">
        <v>1271</v>
      </c>
      <c r="F275" t="s">
        <v>597</v>
      </c>
      <c r="G275" t="s">
        <v>597</v>
      </c>
    </row>
    <row r="276" spans="1:7" x14ac:dyDescent="0.3">
      <c r="A276" t="s">
        <v>1269</v>
      </c>
      <c r="B276" t="s">
        <v>1442</v>
      </c>
      <c r="C276" t="s">
        <v>1281</v>
      </c>
      <c r="D276" t="s">
        <v>1219</v>
      </c>
      <c r="E276" t="s">
        <v>1271</v>
      </c>
      <c r="F276" t="s">
        <v>597</v>
      </c>
      <c r="G276" t="s">
        <v>597</v>
      </c>
    </row>
    <row r="277" spans="1:7" x14ac:dyDescent="0.3">
      <c r="A277" t="s">
        <v>1269</v>
      </c>
      <c r="B277" t="s">
        <v>1442</v>
      </c>
      <c r="C277" t="s">
        <v>1282</v>
      </c>
      <c r="D277" t="s">
        <v>1219</v>
      </c>
      <c r="E277" t="s">
        <v>1271</v>
      </c>
      <c r="F277" t="s">
        <v>597</v>
      </c>
      <c r="G277" t="s">
        <v>597</v>
      </c>
    </row>
    <row r="278" spans="1:7" x14ac:dyDescent="0.3">
      <c r="A278" t="s">
        <v>1269</v>
      </c>
      <c r="B278" t="s">
        <v>1442</v>
      </c>
      <c r="C278" t="s">
        <v>1283</v>
      </c>
      <c r="D278" t="s">
        <v>1219</v>
      </c>
      <c r="E278" t="s">
        <v>1271</v>
      </c>
      <c r="F278" t="s">
        <v>597</v>
      </c>
      <c r="G278" t="s">
        <v>597</v>
      </c>
    </row>
    <row r="279" spans="1:7" x14ac:dyDescent="0.3">
      <c r="A279" t="s">
        <v>1269</v>
      </c>
      <c r="B279" t="s">
        <v>1442</v>
      </c>
      <c r="C279" t="s">
        <v>1284</v>
      </c>
      <c r="D279" t="s">
        <v>1224</v>
      </c>
      <c r="E279" t="s">
        <v>1271</v>
      </c>
      <c r="F279" t="s">
        <v>597</v>
      </c>
      <c r="G279" t="s">
        <v>597</v>
      </c>
    </row>
    <row r="280" spans="1:7" x14ac:dyDescent="0.3">
      <c r="A280" t="s">
        <v>1269</v>
      </c>
      <c r="B280" t="s">
        <v>1442</v>
      </c>
      <c r="C280" t="s">
        <v>1285</v>
      </c>
      <c r="D280" t="s">
        <v>1224</v>
      </c>
      <c r="E280" t="s">
        <v>1271</v>
      </c>
      <c r="F280" t="s">
        <v>597</v>
      </c>
      <c r="G280" t="s">
        <v>597</v>
      </c>
    </row>
    <row r="281" spans="1:7" x14ac:dyDescent="0.3">
      <c r="A281" t="s">
        <v>1269</v>
      </c>
      <c r="B281" t="s">
        <v>1442</v>
      </c>
      <c r="C281" t="s">
        <v>1286</v>
      </c>
      <c r="D281" t="s">
        <v>1224</v>
      </c>
      <c r="E281" t="s">
        <v>1271</v>
      </c>
      <c r="F281" t="s">
        <v>597</v>
      </c>
      <c r="G281" t="s">
        <v>597</v>
      </c>
    </row>
    <row r="282" spans="1:7" x14ac:dyDescent="0.3">
      <c r="A282" t="s">
        <v>1269</v>
      </c>
      <c r="B282" t="s">
        <v>1442</v>
      </c>
      <c r="C282" t="s">
        <v>1287</v>
      </c>
      <c r="D282" t="s">
        <v>1229</v>
      </c>
      <c r="E282" t="s">
        <v>1271</v>
      </c>
      <c r="F282" t="s">
        <v>597</v>
      </c>
      <c r="G282" t="s">
        <v>597</v>
      </c>
    </row>
    <row r="283" spans="1:7" x14ac:dyDescent="0.3">
      <c r="A283" t="s">
        <v>1269</v>
      </c>
      <c r="B283" t="s">
        <v>1442</v>
      </c>
      <c r="C283" t="s">
        <v>1288</v>
      </c>
      <c r="D283" t="s">
        <v>1229</v>
      </c>
      <c r="E283" t="s">
        <v>1271</v>
      </c>
      <c r="F283" t="s">
        <v>597</v>
      </c>
      <c r="G283" t="s">
        <v>597</v>
      </c>
    </row>
    <row r="284" spans="1:7" x14ac:dyDescent="0.3">
      <c r="A284" t="s">
        <v>1269</v>
      </c>
      <c r="B284" t="s">
        <v>1442</v>
      </c>
      <c r="C284" t="s">
        <v>1289</v>
      </c>
      <c r="D284" t="s">
        <v>1229</v>
      </c>
      <c r="E284" t="s">
        <v>1271</v>
      </c>
      <c r="F284" t="s">
        <v>597</v>
      </c>
      <c r="G284" t="s">
        <v>597</v>
      </c>
    </row>
    <row r="285" spans="1:7" x14ac:dyDescent="0.3">
      <c r="A285" t="s">
        <v>1269</v>
      </c>
      <c r="B285" t="s">
        <v>1442</v>
      </c>
      <c r="C285" t="s">
        <v>1290</v>
      </c>
      <c r="D285" t="s">
        <v>1234</v>
      </c>
      <c r="E285" t="s">
        <v>1271</v>
      </c>
      <c r="F285" t="s">
        <v>597</v>
      </c>
      <c r="G285" t="s">
        <v>597</v>
      </c>
    </row>
    <row r="286" spans="1:7" x14ac:dyDescent="0.3">
      <c r="A286" t="s">
        <v>1269</v>
      </c>
      <c r="B286" t="s">
        <v>1442</v>
      </c>
      <c r="C286" t="s">
        <v>1291</v>
      </c>
      <c r="D286" t="s">
        <v>1234</v>
      </c>
      <c r="E286" t="s">
        <v>1271</v>
      </c>
      <c r="F286" t="s">
        <v>597</v>
      </c>
      <c r="G286" t="s">
        <v>597</v>
      </c>
    </row>
    <row r="287" spans="1:7" x14ac:dyDescent="0.3">
      <c r="A287" t="s">
        <v>1269</v>
      </c>
      <c r="B287" t="s">
        <v>1442</v>
      </c>
      <c r="C287" t="s">
        <v>1292</v>
      </c>
      <c r="D287" t="s">
        <v>1234</v>
      </c>
      <c r="E287" t="s">
        <v>1271</v>
      </c>
      <c r="F287" t="s">
        <v>597</v>
      </c>
      <c r="G287" t="s">
        <v>597</v>
      </c>
    </row>
    <row r="288" spans="1:7" x14ac:dyDescent="0.3">
      <c r="A288" t="s">
        <v>1269</v>
      </c>
      <c r="B288" t="s">
        <v>1442</v>
      </c>
      <c r="C288" t="s">
        <v>1293</v>
      </c>
      <c r="D288" t="s">
        <v>1239</v>
      </c>
      <c r="E288" t="s">
        <v>1271</v>
      </c>
      <c r="F288" t="s">
        <v>597</v>
      </c>
      <c r="G288" t="s">
        <v>597</v>
      </c>
    </row>
    <row r="289" spans="1:7" x14ac:dyDescent="0.3">
      <c r="A289" t="s">
        <v>1269</v>
      </c>
      <c r="B289" t="s">
        <v>1442</v>
      </c>
      <c r="C289" t="s">
        <v>1294</v>
      </c>
      <c r="D289" t="s">
        <v>1239</v>
      </c>
      <c r="E289" t="s">
        <v>1271</v>
      </c>
      <c r="F289" t="s">
        <v>597</v>
      </c>
      <c r="G289" t="s">
        <v>597</v>
      </c>
    </row>
    <row r="290" spans="1:7" x14ac:dyDescent="0.3">
      <c r="A290" t="s">
        <v>1269</v>
      </c>
      <c r="B290" t="s">
        <v>1442</v>
      </c>
      <c r="C290" t="s">
        <v>1295</v>
      </c>
      <c r="D290" t="s">
        <v>1239</v>
      </c>
      <c r="E290" t="s">
        <v>1271</v>
      </c>
      <c r="F290" t="s">
        <v>597</v>
      </c>
      <c r="G290" t="s">
        <v>597</v>
      </c>
    </row>
    <row r="291" spans="1:7" x14ac:dyDescent="0.3">
      <c r="A291" t="s">
        <v>1269</v>
      </c>
      <c r="B291" t="s">
        <v>1442</v>
      </c>
      <c r="C291" t="s">
        <v>1296</v>
      </c>
      <c r="D291" t="s">
        <v>1244</v>
      </c>
      <c r="E291" t="s">
        <v>1271</v>
      </c>
      <c r="F291" t="s">
        <v>597</v>
      </c>
      <c r="G291" t="s">
        <v>597</v>
      </c>
    </row>
    <row r="292" spans="1:7" x14ac:dyDescent="0.3">
      <c r="A292" t="s">
        <v>1269</v>
      </c>
      <c r="B292" t="s">
        <v>1442</v>
      </c>
      <c r="C292" t="s">
        <v>1297</v>
      </c>
      <c r="D292" t="s">
        <v>1244</v>
      </c>
      <c r="E292" t="s">
        <v>1271</v>
      </c>
      <c r="F292" t="s">
        <v>597</v>
      </c>
      <c r="G292" t="s">
        <v>597</v>
      </c>
    </row>
    <row r="293" spans="1:7" x14ac:dyDescent="0.3">
      <c r="A293" t="s">
        <v>1269</v>
      </c>
      <c r="B293" t="s">
        <v>1442</v>
      </c>
      <c r="C293" t="s">
        <v>1298</v>
      </c>
      <c r="D293" t="s">
        <v>1244</v>
      </c>
      <c r="E293" t="s">
        <v>1271</v>
      </c>
      <c r="F293" t="s">
        <v>597</v>
      </c>
      <c r="G293" t="s">
        <v>597</v>
      </c>
    </row>
    <row r="294" spans="1:7" x14ac:dyDescent="0.3">
      <c r="A294" t="s">
        <v>1269</v>
      </c>
      <c r="B294" t="s">
        <v>1442</v>
      </c>
      <c r="C294" t="s">
        <v>1299</v>
      </c>
      <c r="D294" t="s">
        <v>1244</v>
      </c>
      <c r="E294" t="s">
        <v>1271</v>
      </c>
      <c r="F294" t="s">
        <v>597</v>
      </c>
      <c r="G294" t="s">
        <v>597</v>
      </c>
    </row>
    <row r="295" spans="1:7" x14ac:dyDescent="0.3">
      <c r="A295" t="s">
        <v>1269</v>
      </c>
      <c r="B295" t="s">
        <v>1442</v>
      </c>
      <c r="C295" t="s">
        <v>1300</v>
      </c>
      <c r="D295" t="s">
        <v>1244</v>
      </c>
      <c r="E295" t="s">
        <v>1271</v>
      </c>
      <c r="F295" t="s">
        <v>597</v>
      </c>
      <c r="G295" t="s">
        <v>597</v>
      </c>
    </row>
    <row r="296" spans="1:7" x14ac:dyDescent="0.3">
      <c r="A296" t="s">
        <v>1269</v>
      </c>
      <c r="B296" t="s">
        <v>1442</v>
      </c>
      <c r="C296" t="s">
        <v>1301</v>
      </c>
      <c r="D296" t="s">
        <v>1244</v>
      </c>
      <c r="E296" t="s">
        <v>1271</v>
      </c>
      <c r="F296" t="s">
        <v>597</v>
      </c>
      <c r="G296" t="s">
        <v>597</v>
      </c>
    </row>
    <row r="297" spans="1:7" x14ac:dyDescent="0.3">
      <c r="A297" t="s">
        <v>1269</v>
      </c>
      <c r="B297" t="s">
        <v>1443</v>
      </c>
      <c r="C297" t="s">
        <v>1302</v>
      </c>
      <c r="D297" t="s">
        <v>1250</v>
      </c>
      <c r="E297" t="s">
        <v>1271</v>
      </c>
      <c r="F297" t="s">
        <v>597</v>
      </c>
      <c r="G297" t="s">
        <v>597</v>
      </c>
    </row>
    <row r="298" spans="1:7" x14ac:dyDescent="0.3">
      <c r="A298" t="s">
        <v>1269</v>
      </c>
      <c r="B298" t="s">
        <v>1443</v>
      </c>
      <c r="C298" t="s">
        <v>1303</v>
      </c>
      <c r="D298" t="s">
        <v>1250</v>
      </c>
      <c r="E298" t="s">
        <v>1271</v>
      </c>
      <c r="F298" t="s">
        <v>597</v>
      </c>
      <c r="G298" t="s">
        <v>597</v>
      </c>
    </row>
    <row r="299" spans="1:7" x14ac:dyDescent="0.3">
      <c r="A299" t="s">
        <v>1269</v>
      </c>
      <c r="B299" t="s">
        <v>1443</v>
      </c>
      <c r="C299" t="s">
        <v>1304</v>
      </c>
      <c r="D299" t="s">
        <v>1250</v>
      </c>
      <c r="E299" t="s">
        <v>1271</v>
      </c>
      <c r="F299" t="s">
        <v>597</v>
      </c>
      <c r="G299" t="s">
        <v>597</v>
      </c>
    </row>
    <row r="300" spans="1:7" x14ac:dyDescent="0.3">
      <c r="A300" t="s">
        <v>1269</v>
      </c>
      <c r="B300" t="s">
        <v>1443</v>
      </c>
      <c r="C300" t="s">
        <v>1305</v>
      </c>
      <c r="D300" t="s">
        <v>1250</v>
      </c>
      <c r="E300" t="s">
        <v>1271</v>
      </c>
      <c r="F300" t="s">
        <v>597</v>
      </c>
      <c r="G300" t="s">
        <v>597</v>
      </c>
    </row>
    <row r="301" spans="1:7" x14ac:dyDescent="0.3">
      <c r="A301" t="s">
        <v>1269</v>
      </c>
      <c r="B301" t="s">
        <v>1443</v>
      </c>
      <c r="C301" t="s">
        <v>1306</v>
      </c>
      <c r="D301" t="s">
        <v>1250</v>
      </c>
      <c r="E301" t="s">
        <v>1271</v>
      </c>
      <c r="F301" t="s">
        <v>597</v>
      </c>
      <c r="G301" t="s">
        <v>597</v>
      </c>
    </row>
    <row r="302" spans="1:7" x14ac:dyDescent="0.3">
      <c r="A302" t="s">
        <v>1269</v>
      </c>
      <c r="B302" t="s">
        <v>1443</v>
      </c>
      <c r="C302" t="s">
        <v>1307</v>
      </c>
      <c r="D302" t="s">
        <v>1250</v>
      </c>
      <c r="E302" t="s">
        <v>1271</v>
      </c>
      <c r="F302" t="s">
        <v>597</v>
      </c>
      <c r="G302" t="s">
        <v>597</v>
      </c>
    </row>
    <row r="303" spans="1:7" x14ac:dyDescent="0.3">
      <c r="A303" t="s">
        <v>1269</v>
      </c>
      <c r="B303" t="s">
        <v>1442</v>
      </c>
      <c r="C303" t="s">
        <v>1308</v>
      </c>
      <c r="D303" t="s">
        <v>1256</v>
      </c>
      <c r="E303" t="s">
        <v>1271</v>
      </c>
      <c r="F303" t="s">
        <v>597</v>
      </c>
      <c r="G303" t="s">
        <v>597</v>
      </c>
    </row>
    <row r="304" spans="1:7" x14ac:dyDescent="0.3">
      <c r="A304" t="s">
        <v>1269</v>
      </c>
      <c r="B304" t="s">
        <v>1442</v>
      </c>
      <c r="C304" t="s">
        <v>1309</v>
      </c>
      <c r="D304" t="s">
        <v>1258</v>
      </c>
      <c r="E304" t="s">
        <v>1271</v>
      </c>
      <c r="F304" t="s">
        <v>597</v>
      </c>
      <c r="G304" t="s">
        <v>597</v>
      </c>
    </row>
    <row r="305" spans="1:7" x14ac:dyDescent="0.3">
      <c r="A305" t="s">
        <v>1269</v>
      </c>
      <c r="B305" t="s">
        <v>1442</v>
      </c>
      <c r="C305" t="s">
        <v>1310</v>
      </c>
      <c r="D305" t="s">
        <v>1260</v>
      </c>
      <c r="E305" t="s">
        <v>1271</v>
      </c>
      <c r="F305" t="s">
        <v>597</v>
      </c>
      <c r="G305" t="s">
        <v>597</v>
      </c>
    </row>
    <row r="306" spans="1:7" x14ac:dyDescent="0.3">
      <c r="A306" t="s">
        <v>1269</v>
      </c>
      <c r="B306" t="s">
        <v>1442</v>
      </c>
      <c r="C306" t="s">
        <v>1311</v>
      </c>
      <c r="D306" t="s">
        <v>1260</v>
      </c>
      <c r="E306" t="s">
        <v>1271</v>
      </c>
      <c r="F306" t="s">
        <v>597</v>
      </c>
      <c r="G306" t="s">
        <v>597</v>
      </c>
    </row>
    <row r="307" spans="1:7" x14ac:dyDescent="0.3">
      <c r="A307" t="s">
        <v>1269</v>
      </c>
      <c r="B307" t="s">
        <v>1442</v>
      </c>
      <c r="C307" t="s">
        <v>1312</v>
      </c>
      <c r="D307" t="s">
        <v>1260</v>
      </c>
      <c r="E307" t="s">
        <v>1271</v>
      </c>
      <c r="F307" t="s">
        <v>597</v>
      </c>
      <c r="G307" t="s">
        <v>597</v>
      </c>
    </row>
    <row r="308" spans="1:7" x14ac:dyDescent="0.3">
      <c r="A308" t="s">
        <v>1269</v>
      </c>
      <c r="B308" t="s">
        <v>1442</v>
      </c>
      <c r="C308" t="s">
        <v>1313</v>
      </c>
      <c r="D308" t="s">
        <v>1263</v>
      </c>
      <c r="E308" t="s">
        <v>1271</v>
      </c>
      <c r="F308" t="s">
        <v>597</v>
      </c>
      <c r="G308" t="s">
        <v>597</v>
      </c>
    </row>
    <row r="309" spans="1:7" x14ac:dyDescent="0.3">
      <c r="A309" t="s">
        <v>1269</v>
      </c>
      <c r="B309" t="s">
        <v>1442</v>
      </c>
      <c r="C309" t="s">
        <v>1314</v>
      </c>
      <c r="D309" t="s">
        <v>1263</v>
      </c>
      <c r="E309" t="s">
        <v>1271</v>
      </c>
      <c r="F309" t="s">
        <v>597</v>
      </c>
      <c r="G309" t="s">
        <v>597</v>
      </c>
    </row>
    <row r="310" spans="1:7" x14ac:dyDescent="0.3">
      <c r="A310" t="s">
        <v>1269</v>
      </c>
      <c r="B310" t="s">
        <v>1442</v>
      </c>
      <c r="C310" t="s">
        <v>1315</v>
      </c>
      <c r="D310" t="s">
        <v>1263</v>
      </c>
      <c r="E310" t="s">
        <v>1271</v>
      </c>
      <c r="F310" t="s">
        <v>597</v>
      </c>
      <c r="G310" t="s">
        <v>597</v>
      </c>
    </row>
    <row r="311" spans="1:7" x14ac:dyDescent="0.3">
      <c r="A311" t="s">
        <v>1269</v>
      </c>
      <c r="B311" t="s">
        <v>1442</v>
      </c>
      <c r="C311" t="s">
        <v>1316</v>
      </c>
      <c r="D311" t="s">
        <v>1263</v>
      </c>
      <c r="E311" t="s">
        <v>1271</v>
      </c>
      <c r="F311" t="s">
        <v>597</v>
      </c>
      <c r="G311" t="s">
        <v>597</v>
      </c>
    </row>
    <row r="312" spans="1:7" x14ac:dyDescent="0.3">
      <c r="A312" t="s">
        <v>1269</v>
      </c>
      <c r="B312" t="s">
        <v>1442</v>
      </c>
      <c r="C312" t="s">
        <v>1317</v>
      </c>
      <c r="D312" t="s">
        <v>1263</v>
      </c>
      <c r="E312" t="s">
        <v>1271</v>
      </c>
      <c r="F312" t="s">
        <v>597</v>
      </c>
      <c r="G312" t="s">
        <v>597</v>
      </c>
    </row>
    <row r="313" spans="1:7" hidden="1" x14ac:dyDescent="0.3">
      <c r="A313" t="s">
        <v>607</v>
      </c>
    </row>
    <row r="314" spans="1:7" x14ac:dyDescent="0.3">
      <c r="A314" t="s">
        <v>608</v>
      </c>
      <c r="B314" t="s">
        <v>1442</v>
      </c>
      <c r="C314" t="s">
        <v>1318</v>
      </c>
      <c r="D314" t="s">
        <v>604</v>
      </c>
      <c r="E314" t="s">
        <v>605</v>
      </c>
      <c r="F314" t="s">
        <v>606</v>
      </c>
      <c r="G314" t="s">
        <v>606</v>
      </c>
    </row>
    <row r="315" spans="1:7" hidden="1" x14ac:dyDescent="0.3">
      <c r="A315" t="s">
        <v>609</v>
      </c>
    </row>
    <row r="316" spans="1:7" x14ac:dyDescent="0.3">
      <c r="A316" t="s">
        <v>610</v>
      </c>
      <c r="B316" t="s">
        <v>1442</v>
      </c>
      <c r="C316" t="s">
        <v>1319</v>
      </c>
      <c r="D316" t="s">
        <v>604</v>
      </c>
      <c r="E316" t="s">
        <v>605</v>
      </c>
      <c r="F316" t="s">
        <v>606</v>
      </c>
      <c r="G316" t="s">
        <v>606</v>
      </c>
    </row>
    <row r="317" spans="1:7" x14ac:dyDescent="0.3">
      <c r="A317" t="s">
        <v>610</v>
      </c>
      <c r="B317" t="s">
        <v>1443</v>
      </c>
      <c r="C317" t="s">
        <v>1320</v>
      </c>
      <c r="D317" t="s">
        <v>604</v>
      </c>
      <c r="E317" t="s">
        <v>605</v>
      </c>
      <c r="F317" t="s">
        <v>606</v>
      </c>
      <c r="G317" t="s">
        <v>606</v>
      </c>
    </row>
    <row r="318" spans="1:7" x14ac:dyDescent="0.3">
      <c r="A318" t="s">
        <v>610</v>
      </c>
      <c r="B318" t="s">
        <v>1442</v>
      </c>
      <c r="C318" t="s">
        <v>1321</v>
      </c>
      <c r="D318" t="s">
        <v>604</v>
      </c>
      <c r="E318" t="s">
        <v>605</v>
      </c>
      <c r="F318" t="s">
        <v>606</v>
      </c>
      <c r="G318" t="s">
        <v>606</v>
      </c>
    </row>
    <row r="319" spans="1:7" x14ac:dyDescent="0.3">
      <c r="A319" t="s">
        <v>610</v>
      </c>
      <c r="B319" t="s">
        <v>1442</v>
      </c>
      <c r="C319" t="s">
        <v>1322</v>
      </c>
      <c r="D319" t="s">
        <v>604</v>
      </c>
      <c r="E319" t="s">
        <v>605</v>
      </c>
      <c r="F319" t="s">
        <v>606</v>
      </c>
      <c r="G319" t="s">
        <v>606</v>
      </c>
    </row>
    <row r="320" spans="1:7" x14ac:dyDescent="0.3">
      <c r="A320" t="s">
        <v>610</v>
      </c>
      <c r="B320" t="s">
        <v>1442</v>
      </c>
      <c r="C320" t="s">
        <v>1323</v>
      </c>
      <c r="D320" t="s">
        <v>1324</v>
      </c>
      <c r="E320" t="s">
        <v>605</v>
      </c>
      <c r="F320" t="s">
        <v>606</v>
      </c>
      <c r="G320" t="s">
        <v>606</v>
      </c>
    </row>
    <row r="321" spans="1:8" x14ac:dyDescent="0.3">
      <c r="A321" t="s">
        <v>610</v>
      </c>
      <c r="B321" t="s">
        <v>1442</v>
      </c>
      <c r="C321" t="s">
        <v>1325</v>
      </c>
      <c r="D321" t="s">
        <v>1324</v>
      </c>
      <c r="E321" t="s">
        <v>605</v>
      </c>
      <c r="F321" t="s">
        <v>606</v>
      </c>
      <c r="G321" t="s">
        <v>606</v>
      </c>
    </row>
    <row r="322" spans="1:8" x14ac:dyDescent="0.3">
      <c r="A322" t="s">
        <v>610</v>
      </c>
      <c r="B322" t="s">
        <v>1442</v>
      </c>
      <c r="C322" t="s">
        <v>1326</v>
      </c>
      <c r="D322" t="s">
        <v>1324</v>
      </c>
      <c r="E322" t="s">
        <v>605</v>
      </c>
      <c r="F322" t="s">
        <v>606</v>
      </c>
      <c r="G322" t="s">
        <v>606</v>
      </c>
    </row>
    <row r="323" spans="1:8" x14ac:dyDescent="0.3">
      <c r="A323" t="s">
        <v>610</v>
      </c>
      <c r="B323" t="s">
        <v>1442</v>
      </c>
      <c r="C323" t="s">
        <v>1327</v>
      </c>
      <c r="D323" t="s">
        <v>1324</v>
      </c>
      <c r="E323" t="s">
        <v>605</v>
      </c>
      <c r="F323" t="s">
        <v>606</v>
      </c>
      <c r="G323" t="s">
        <v>606</v>
      </c>
    </row>
    <row r="324" spans="1:8" x14ac:dyDescent="0.3">
      <c r="A324" t="s">
        <v>610</v>
      </c>
      <c r="B324" t="s">
        <v>1442</v>
      </c>
      <c r="C324" t="s">
        <v>1328</v>
      </c>
      <c r="D324" t="s">
        <v>1324</v>
      </c>
      <c r="E324" t="s">
        <v>605</v>
      </c>
      <c r="F324" t="s">
        <v>606</v>
      </c>
      <c r="G324" t="s">
        <v>606</v>
      </c>
    </row>
    <row r="325" spans="1:8" x14ac:dyDescent="0.3">
      <c r="A325" t="s">
        <v>610</v>
      </c>
      <c r="B325" t="s">
        <v>1442</v>
      </c>
      <c r="C325" t="s">
        <v>1329</v>
      </c>
      <c r="D325" t="s">
        <v>1324</v>
      </c>
      <c r="E325" t="s">
        <v>605</v>
      </c>
      <c r="F325" t="s">
        <v>606</v>
      </c>
      <c r="G325" t="s">
        <v>606</v>
      </c>
    </row>
    <row r="326" spans="1:8" x14ac:dyDescent="0.3">
      <c r="A326" t="s">
        <v>610</v>
      </c>
      <c r="B326" t="s">
        <v>1442</v>
      </c>
      <c r="C326" t="s">
        <v>1330</v>
      </c>
      <c r="D326" t="s">
        <v>604</v>
      </c>
      <c r="E326" t="s">
        <v>605</v>
      </c>
      <c r="F326" t="s">
        <v>606</v>
      </c>
      <c r="G326" t="s">
        <v>606</v>
      </c>
    </row>
    <row r="327" spans="1:8" hidden="1" x14ac:dyDescent="0.3">
      <c r="A327" t="s">
        <v>547</v>
      </c>
      <c r="B327" t="s">
        <v>548</v>
      </c>
      <c r="C327" t="s">
        <v>549</v>
      </c>
      <c r="D327" t="s">
        <v>550</v>
      </c>
      <c r="E327" t="s">
        <v>551</v>
      </c>
      <c r="F327" t="s">
        <v>552</v>
      </c>
      <c r="G327" t="s">
        <v>553</v>
      </c>
      <c r="H327" t="s">
        <v>554</v>
      </c>
    </row>
    <row r="328" spans="1:8" hidden="1" x14ac:dyDescent="0.3">
      <c r="A328" t="s">
        <v>613</v>
      </c>
    </row>
    <row r="329" spans="1:8" hidden="1" x14ac:dyDescent="0.3">
      <c r="A329" t="s">
        <v>614</v>
      </c>
      <c r="B329" t="s">
        <v>557</v>
      </c>
      <c r="C329" t="s">
        <v>615</v>
      </c>
      <c r="D329" t="s">
        <v>616</v>
      </c>
      <c r="E329" t="s">
        <v>3151</v>
      </c>
      <c r="F329" t="s">
        <v>3152</v>
      </c>
    </row>
    <row r="330" spans="1:8" hidden="1" x14ac:dyDescent="0.3">
      <c r="A330" t="s">
        <v>614</v>
      </c>
      <c r="B330" t="s">
        <v>561</v>
      </c>
      <c r="C330" t="s">
        <v>617</v>
      </c>
      <c r="D330" t="s">
        <v>616</v>
      </c>
      <c r="E330" t="s">
        <v>3151</v>
      </c>
      <c r="F330" t="s">
        <v>3152</v>
      </c>
    </row>
    <row r="331" spans="1:8" hidden="1" x14ac:dyDescent="0.3">
      <c r="A331" t="s">
        <v>614</v>
      </c>
      <c r="B331" t="s">
        <v>566</v>
      </c>
      <c r="C331" t="s">
        <v>3153</v>
      </c>
      <c r="D331" t="s">
        <v>618</v>
      </c>
      <c r="E331" t="s">
        <v>3151</v>
      </c>
      <c r="F331" t="s">
        <v>3154</v>
      </c>
    </row>
    <row r="332" spans="1:8" hidden="1" x14ac:dyDescent="0.3">
      <c r="A332" t="s">
        <v>614</v>
      </c>
      <c r="B332" t="s">
        <v>567</v>
      </c>
      <c r="C332" t="s">
        <v>3155</v>
      </c>
      <c r="D332" t="s">
        <v>618</v>
      </c>
      <c r="E332" t="s">
        <v>3151</v>
      </c>
      <c r="F332" t="s">
        <v>3154</v>
      </c>
    </row>
    <row r="333" spans="1:8" hidden="1" x14ac:dyDescent="0.3">
      <c r="A333" t="s">
        <v>614</v>
      </c>
      <c r="B333" t="s">
        <v>619</v>
      </c>
      <c r="C333" t="s">
        <v>3156</v>
      </c>
      <c r="D333" t="s">
        <v>616</v>
      </c>
      <c r="E333" t="s">
        <v>3151</v>
      </c>
      <c r="F333" t="s">
        <v>3157</v>
      </c>
    </row>
    <row r="334" spans="1:8" hidden="1" x14ac:dyDescent="0.3">
      <c r="A334" t="s">
        <v>614</v>
      </c>
      <c r="B334" t="s">
        <v>620</v>
      </c>
      <c r="C334" t="s">
        <v>3158</v>
      </c>
      <c r="D334" t="s">
        <v>616</v>
      </c>
      <c r="E334" t="s">
        <v>3151</v>
      </c>
      <c r="F334" t="s">
        <v>3159</v>
      </c>
    </row>
    <row r="335" spans="1:8" hidden="1" x14ac:dyDescent="0.3">
      <c r="A335" t="s">
        <v>614</v>
      </c>
      <c r="B335" t="s">
        <v>621</v>
      </c>
      <c r="C335" t="s">
        <v>3160</v>
      </c>
      <c r="D335" t="s">
        <v>616</v>
      </c>
      <c r="E335" t="s">
        <v>3151</v>
      </c>
      <c r="F335" t="s">
        <v>3159</v>
      </c>
    </row>
    <row r="336" spans="1:8" hidden="1" x14ac:dyDescent="0.3">
      <c r="A336" t="s">
        <v>614</v>
      </c>
      <c r="B336" t="s">
        <v>622</v>
      </c>
      <c r="C336" t="s">
        <v>3161</v>
      </c>
      <c r="D336" t="s">
        <v>618</v>
      </c>
      <c r="E336" t="s">
        <v>3151</v>
      </c>
      <c r="F336" t="s">
        <v>3162</v>
      </c>
    </row>
    <row r="337" spans="1:6" hidden="1" x14ac:dyDescent="0.3">
      <c r="A337" t="s">
        <v>614</v>
      </c>
      <c r="B337" t="s">
        <v>623</v>
      </c>
      <c r="C337" t="s">
        <v>3163</v>
      </c>
      <c r="D337" t="s">
        <v>618</v>
      </c>
      <c r="E337" t="s">
        <v>3151</v>
      </c>
      <c r="F337" t="s">
        <v>3162</v>
      </c>
    </row>
    <row r="338" spans="1:6" hidden="1" x14ac:dyDescent="0.3">
      <c r="A338" t="s">
        <v>614</v>
      </c>
      <c r="B338" t="s">
        <v>624</v>
      </c>
      <c r="C338" t="s">
        <v>3164</v>
      </c>
      <c r="D338" t="s">
        <v>616</v>
      </c>
    </row>
    <row r="339" spans="1:6" hidden="1" x14ac:dyDescent="0.3">
      <c r="A339" t="s">
        <v>614</v>
      </c>
      <c r="B339" t="s">
        <v>629</v>
      </c>
      <c r="C339" t="s">
        <v>3165</v>
      </c>
      <c r="D339" t="s">
        <v>618</v>
      </c>
    </row>
    <row r="340" spans="1:6" hidden="1" x14ac:dyDescent="0.3">
      <c r="A340" t="s">
        <v>625</v>
      </c>
    </row>
    <row r="341" spans="1:6" hidden="1" x14ac:dyDescent="0.3">
      <c r="A341" t="s">
        <v>626</v>
      </c>
      <c r="B341" t="s">
        <v>566</v>
      </c>
      <c r="C341" t="s">
        <v>3166</v>
      </c>
      <c r="D341" t="s">
        <v>627</v>
      </c>
      <c r="E341" t="s">
        <v>3167</v>
      </c>
      <c r="F341" t="s">
        <v>3168</v>
      </c>
    </row>
    <row r="342" spans="1:6" hidden="1" x14ac:dyDescent="0.3">
      <c r="A342" t="s">
        <v>626</v>
      </c>
      <c r="B342" t="s">
        <v>566</v>
      </c>
      <c r="C342" t="s">
        <v>3169</v>
      </c>
      <c r="D342" t="s">
        <v>628</v>
      </c>
      <c r="E342" t="s">
        <v>3167</v>
      </c>
      <c r="F342" t="s">
        <v>3168</v>
      </c>
    </row>
    <row r="343" spans="1:6" hidden="1" x14ac:dyDescent="0.3">
      <c r="A343" t="s">
        <v>626</v>
      </c>
      <c r="B343" t="s">
        <v>567</v>
      </c>
      <c r="C343" t="s">
        <v>3170</v>
      </c>
      <c r="D343" t="s">
        <v>627</v>
      </c>
      <c r="E343" t="s">
        <v>3167</v>
      </c>
      <c r="F343" t="s">
        <v>3168</v>
      </c>
    </row>
    <row r="344" spans="1:6" hidden="1" x14ac:dyDescent="0.3">
      <c r="A344" t="s">
        <v>626</v>
      </c>
      <c r="B344" t="s">
        <v>567</v>
      </c>
      <c r="C344" t="s">
        <v>3171</v>
      </c>
      <c r="D344" t="s">
        <v>628</v>
      </c>
      <c r="E344" t="s">
        <v>3167</v>
      </c>
      <c r="F344" t="s">
        <v>3168</v>
      </c>
    </row>
    <row r="345" spans="1:6" hidden="1" x14ac:dyDescent="0.3">
      <c r="A345" t="s">
        <v>626</v>
      </c>
      <c r="B345" t="s">
        <v>622</v>
      </c>
      <c r="C345" t="s">
        <v>3172</v>
      </c>
      <c r="D345" t="s">
        <v>627</v>
      </c>
      <c r="E345" t="s">
        <v>3167</v>
      </c>
      <c r="F345" t="s">
        <v>3168</v>
      </c>
    </row>
    <row r="346" spans="1:6" hidden="1" x14ac:dyDescent="0.3">
      <c r="A346" t="s">
        <v>626</v>
      </c>
      <c r="B346" t="s">
        <v>622</v>
      </c>
      <c r="C346" t="s">
        <v>3173</v>
      </c>
      <c r="D346" t="s">
        <v>628</v>
      </c>
      <c r="E346" t="s">
        <v>3167</v>
      </c>
      <c r="F346" t="s">
        <v>3168</v>
      </c>
    </row>
    <row r="347" spans="1:6" hidden="1" x14ac:dyDescent="0.3">
      <c r="A347" t="s">
        <v>626</v>
      </c>
      <c r="B347" t="s">
        <v>623</v>
      </c>
      <c r="C347" t="s">
        <v>3174</v>
      </c>
      <c r="D347" t="s">
        <v>627</v>
      </c>
      <c r="E347" t="s">
        <v>3167</v>
      </c>
      <c r="F347" t="s">
        <v>3168</v>
      </c>
    </row>
    <row r="348" spans="1:6" hidden="1" x14ac:dyDescent="0.3">
      <c r="A348" t="s">
        <v>626</v>
      </c>
      <c r="B348" t="s">
        <v>623</v>
      </c>
      <c r="C348" t="s">
        <v>3175</v>
      </c>
      <c r="D348" t="s">
        <v>628</v>
      </c>
      <c r="E348" t="s">
        <v>3167</v>
      </c>
      <c r="F348" t="s">
        <v>3168</v>
      </c>
    </row>
    <row r="349" spans="1:6" hidden="1" x14ac:dyDescent="0.3">
      <c r="A349" t="s">
        <v>626</v>
      </c>
      <c r="B349" t="s">
        <v>629</v>
      </c>
      <c r="C349" t="s">
        <v>3176</v>
      </c>
      <c r="D349" t="s">
        <v>627</v>
      </c>
      <c r="E349" t="s">
        <v>3167</v>
      </c>
      <c r="F349" t="s">
        <v>3168</v>
      </c>
    </row>
    <row r="350" spans="1:6" hidden="1" x14ac:dyDescent="0.3">
      <c r="A350" t="s">
        <v>626</v>
      </c>
      <c r="B350" t="s">
        <v>629</v>
      </c>
      <c r="C350" t="s">
        <v>3177</v>
      </c>
      <c r="D350" t="s">
        <v>628</v>
      </c>
      <c r="E350" t="s">
        <v>3167</v>
      </c>
      <c r="F350" t="s">
        <v>3168</v>
      </c>
    </row>
    <row r="351" spans="1:6" hidden="1" x14ac:dyDescent="0.3">
      <c r="A351" t="s">
        <v>630</v>
      </c>
    </row>
    <row r="352" spans="1:6" hidden="1" x14ac:dyDescent="0.3">
      <c r="A352" t="s">
        <v>631</v>
      </c>
      <c r="B352" t="s">
        <v>557</v>
      </c>
      <c r="C352" t="s">
        <v>3178</v>
      </c>
      <c r="D352" t="s">
        <v>628</v>
      </c>
      <c r="E352" t="s">
        <v>3167</v>
      </c>
      <c r="F352" t="s">
        <v>3179</v>
      </c>
    </row>
    <row r="353" spans="1:6" hidden="1" x14ac:dyDescent="0.3">
      <c r="A353" t="s">
        <v>631</v>
      </c>
      <c r="B353" t="s">
        <v>561</v>
      </c>
      <c r="C353" t="s">
        <v>3180</v>
      </c>
      <c r="D353" t="s">
        <v>628</v>
      </c>
      <c r="E353" t="s">
        <v>3167</v>
      </c>
      <c r="F353" t="s">
        <v>3179</v>
      </c>
    </row>
    <row r="354" spans="1:6" hidden="1" x14ac:dyDescent="0.3">
      <c r="A354" t="s">
        <v>631</v>
      </c>
      <c r="B354" t="s">
        <v>620</v>
      </c>
      <c r="C354" t="s">
        <v>3181</v>
      </c>
      <c r="D354" t="s">
        <v>628</v>
      </c>
      <c r="E354" t="s">
        <v>3167</v>
      </c>
      <c r="F354" t="s">
        <v>3179</v>
      </c>
    </row>
    <row r="355" spans="1:6" hidden="1" x14ac:dyDescent="0.3">
      <c r="A355" t="s">
        <v>631</v>
      </c>
      <c r="B355" t="s">
        <v>621</v>
      </c>
      <c r="C355" t="s">
        <v>3182</v>
      </c>
      <c r="D355" t="s">
        <v>628</v>
      </c>
      <c r="E355" t="s">
        <v>3167</v>
      </c>
      <c r="F355" t="s">
        <v>3179</v>
      </c>
    </row>
    <row r="356" spans="1:6" hidden="1" x14ac:dyDescent="0.3">
      <c r="A356" t="s">
        <v>631</v>
      </c>
      <c r="B356" t="s">
        <v>624</v>
      </c>
      <c r="C356" t="s">
        <v>3183</v>
      </c>
      <c r="D356" t="s">
        <v>628</v>
      </c>
      <c r="E356" t="s">
        <v>3167</v>
      </c>
      <c r="F356" t="s">
        <v>3179</v>
      </c>
    </row>
    <row r="357" spans="1:6" hidden="1" x14ac:dyDescent="0.3">
      <c r="A357" t="s">
        <v>632</v>
      </c>
    </row>
    <row r="358" spans="1:6" hidden="1" x14ac:dyDescent="0.3">
      <c r="A358" t="s">
        <v>633</v>
      </c>
      <c r="B358" t="s">
        <v>557</v>
      </c>
      <c r="C358" t="s">
        <v>634</v>
      </c>
      <c r="D358" t="s">
        <v>635</v>
      </c>
      <c r="E358" t="s">
        <v>3167</v>
      </c>
    </row>
    <row r="359" spans="1:6" hidden="1" x14ac:dyDescent="0.3">
      <c r="A359" t="s">
        <v>633</v>
      </c>
      <c r="B359" t="s">
        <v>557</v>
      </c>
      <c r="C359" t="s">
        <v>636</v>
      </c>
      <c r="D359" t="s">
        <v>637</v>
      </c>
      <c r="E359" t="s">
        <v>3167</v>
      </c>
    </row>
    <row r="360" spans="1:6" hidden="1" x14ac:dyDescent="0.3">
      <c r="A360" t="s">
        <v>633</v>
      </c>
      <c r="B360" t="s">
        <v>557</v>
      </c>
      <c r="C360" t="s">
        <v>638</v>
      </c>
      <c r="D360" t="s">
        <v>639</v>
      </c>
      <c r="E360" t="s">
        <v>3167</v>
      </c>
    </row>
    <row r="361" spans="1:6" hidden="1" x14ac:dyDescent="0.3">
      <c r="A361" t="s">
        <v>633</v>
      </c>
      <c r="B361" t="s">
        <v>561</v>
      </c>
      <c r="C361" t="s">
        <v>640</v>
      </c>
      <c r="D361" t="s">
        <v>635</v>
      </c>
      <c r="E361" t="s">
        <v>3167</v>
      </c>
    </row>
    <row r="362" spans="1:6" hidden="1" x14ac:dyDescent="0.3">
      <c r="A362" t="s">
        <v>633</v>
      </c>
      <c r="B362" t="s">
        <v>561</v>
      </c>
      <c r="C362" t="s">
        <v>641</v>
      </c>
      <c r="D362" t="s">
        <v>637</v>
      </c>
      <c r="E362" t="s">
        <v>3167</v>
      </c>
    </row>
    <row r="363" spans="1:6" hidden="1" x14ac:dyDescent="0.3">
      <c r="A363" t="s">
        <v>633</v>
      </c>
      <c r="B363" t="s">
        <v>561</v>
      </c>
      <c r="C363" t="s">
        <v>642</v>
      </c>
      <c r="D363" t="s">
        <v>639</v>
      </c>
      <c r="E363" t="s">
        <v>3167</v>
      </c>
    </row>
    <row r="364" spans="1:6" hidden="1" x14ac:dyDescent="0.3">
      <c r="A364" t="s">
        <v>633</v>
      </c>
      <c r="B364" t="s">
        <v>620</v>
      </c>
      <c r="C364" t="s">
        <v>643</v>
      </c>
      <c r="D364" t="s">
        <v>635</v>
      </c>
      <c r="E364" t="s">
        <v>3167</v>
      </c>
    </row>
    <row r="365" spans="1:6" hidden="1" x14ac:dyDescent="0.3">
      <c r="A365" t="s">
        <v>633</v>
      </c>
      <c r="B365" t="s">
        <v>620</v>
      </c>
      <c r="C365" t="s">
        <v>644</v>
      </c>
      <c r="D365" t="s">
        <v>637</v>
      </c>
      <c r="E365" t="s">
        <v>3167</v>
      </c>
    </row>
    <row r="366" spans="1:6" hidden="1" x14ac:dyDescent="0.3">
      <c r="A366" t="s">
        <v>633</v>
      </c>
      <c r="B366" t="s">
        <v>620</v>
      </c>
      <c r="C366" t="s">
        <v>645</v>
      </c>
      <c r="D366" t="s">
        <v>639</v>
      </c>
      <c r="E366" t="s">
        <v>3167</v>
      </c>
    </row>
    <row r="367" spans="1:6" hidden="1" x14ac:dyDescent="0.3">
      <c r="A367" t="s">
        <v>633</v>
      </c>
      <c r="B367" t="s">
        <v>621</v>
      </c>
      <c r="C367" t="s">
        <v>646</v>
      </c>
      <c r="D367" t="s">
        <v>635</v>
      </c>
      <c r="E367" t="s">
        <v>3167</v>
      </c>
    </row>
    <row r="368" spans="1:6" hidden="1" x14ac:dyDescent="0.3">
      <c r="A368" t="s">
        <v>633</v>
      </c>
      <c r="B368" t="s">
        <v>621</v>
      </c>
      <c r="C368" t="s">
        <v>647</v>
      </c>
      <c r="D368" t="s">
        <v>637</v>
      </c>
      <c r="E368" t="s">
        <v>3167</v>
      </c>
    </row>
    <row r="369" spans="1:5" hidden="1" x14ac:dyDescent="0.3">
      <c r="A369" t="s">
        <v>633</v>
      </c>
      <c r="B369" t="s">
        <v>621</v>
      </c>
      <c r="C369" t="s">
        <v>648</v>
      </c>
      <c r="D369" t="s">
        <v>639</v>
      </c>
      <c r="E369" t="s">
        <v>3167</v>
      </c>
    </row>
    <row r="370" spans="1:5" hidden="1" x14ac:dyDescent="0.3">
      <c r="A370" t="s">
        <v>633</v>
      </c>
      <c r="B370" t="s">
        <v>624</v>
      </c>
      <c r="C370" t="s">
        <v>649</v>
      </c>
      <c r="D370" t="s">
        <v>635</v>
      </c>
      <c r="E370" t="s">
        <v>3167</v>
      </c>
    </row>
    <row r="371" spans="1:5" hidden="1" x14ac:dyDescent="0.3">
      <c r="A371" t="s">
        <v>633</v>
      </c>
      <c r="B371" t="s">
        <v>624</v>
      </c>
      <c r="C371" t="s">
        <v>650</v>
      </c>
      <c r="D371" t="s">
        <v>637</v>
      </c>
      <c r="E371" t="s">
        <v>3167</v>
      </c>
    </row>
    <row r="372" spans="1:5" hidden="1" x14ac:dyDescent="0.3">
      <c r="A372" t="s">
        <v>633</v>
      </c>
      <c r="B372" t="s">
        <v>624</v>
      </c>
      <c r="C372" t="s">
        <v>651</v>
      </c>
      <c r="D372" t="s">
        <v>639</v>
      </c>
      <c r="E372" t="s">
        <v>3167</v>
      </c>
    </row>
    <row r="373" spans="1:5" x14ac:dyDescent="0.3">
      <c r="A373" t="s">
        <v>633</v>
      </c>
      <c r="B373" t="s">
        <v>1442</v>
      </c>
      <c r="C373" t="s">
        <v>652</v>
      </c>
      <c r="D373" t="s">
        <v>635</v>
      </c>
      <c r="E373" t="s">
        <v>3167</v>
      </c>
    </row>
    <row r="374" spans="1:5" x14ac:dyDescent="0.3">
      <c r="A374" t="s">
        <v>633</v>
      </c>
      <c r="B374" t="s">
        <v>1442</v>
      </c>
      <c r="C374" t="s">
        <v>653</v>
      </c>
      <c r="D374" t="s">
        <v>654</v>
      </c>
      <c r="E374" t="s">
        <v>3167</v>
      </c>
    </row>
    <row r="375" spans="1:5" x14ac:dyDescent="0.3">
      <c r="A375" t="s">
        <v>633</v>
      </c>
      <c r="B375" t="s">
        <v>1443</v>
      </c>
      <c r="C375" t="s">
        <v>655</v>
      </c>
      <c r="D375" t="s">
        <v>635</v>
      </c>
      <c r="E375" t="s">
        <v>3167</v>
      </c>
    </row>
    <row r="376" spans="1:5" x14ac:dyDescent="0.3">
      <c r="A376" t="s">
        <v>633</v>
      </c>
      <c r="B376" t="s">
        <v>1442</v>
      </c>
      <c r="C376" t="s">
        <v>656</v>
      </c>
      <c r="D376" t="s">
        <v>657</v>
      </c>
      <c r="E376" t="s">
        <v>3167</v>
      </c>
    </row>
    <row r="377" spans="1:5" x14ac:dyDescent="0.3">
      <c r="A377" t="s">
        <v>633</v>
      </c>
      <c r="B377" t="s">
        <v>1442</v>
      </c>
      <c r="C377" t="s">
        <v>658</v>
      </c>
      <c r="D377" t="s">
        <v>659</v>
      </c>
      <c r="E377" t="s">
        <v>3167</v>
      </c>
    </row>
    <row r="378" spans="1:5" x14ac:dyDescent="0.3">
      <c r="A378" t="s">
        <v>633</v>
      </c>
      <c r="B378" t="s">
        <v>1442</v>
      </c>
      <c r="C378" t="s">
        <v>660</v>
      </c>
      <c r="D378" t="s">
        <v>661</v>
      </c>
      <c r="E378" t="s">
        <v>3167</v>
      </c>
    </row>
    <row r="379" spans="1:5" x14ac:dyDescent="0.3">
      <c r="A379" t="s">
        <v>633</v>
      </c>
      <c r="B379" t="s">
        <v>1442</v>
      </c>
      <c r="C379" t="s">
        <v>662</v>
      </c>
      <c r="D379" t="s">
        <v>663</v>
      </c>
      <c r="E379" t="s">
        <v>3167</v>
      </c>
    </row>
    <row r="380" spans="1:5" x14ac:dyDescent="0.3">
      <c r="A380" t="s">
        <v>633</v>
      </c>
      <c r="B380" t="s">
        <v>1442</v>
      </c>
      <c r="C380" t="s">
        <v>664</v>
      </c>
      <c r="D380" t="s">
        <v>665</v>
      </c>
      <c r="E380" t="s">
        <v>3167</v>
      </c>
    </row>
    <row r="381" spans="1:5" x14ac:dyDescent="0.3">
      <c r="A381" t="s">
        <v>633</v>
      </c>
      <c r="B381" t="s">
        <v>1442</v>
      </c>
      <c r="C381" t="s">
        <v>666</v>
      </c>
      <c r="D381" t="s">
        <v>667</v>
      </c>
      <c r="E381" t="s">
        <v>3167</v>
      </c>
    </row>
    <row r="382" spans="1:5" x14ac:dyDescent="0.3">
      <c r="A382" t="s">
        <v>633</v>
      </c>
      <c r="B382" t="s">
        <v>1442</v>
      </c>
      <c r="C382" t="s">
        <v>668</v>
      </c>
      <c r="D382" t="s">
        <v>669</v>
      </c>
      <c r="E382" t="s">
        <v>3167</v>
      </c>
    </row>
    <row r="383" spans="1:5" x14ac:dyDescent="0.3">
      <c r="A383" t="s">
        <v>633</v>
      </c>
      <c r="B383" t="s">
        <v>1442</v>
      </c>
      <c r="C383" t="s">
        <v>670</v>
      </c>
      <c r="D383" t="s">
        <v>671</v>
      </c>
      <c r="E383" t="s">
        <v>3167</v>
      </c>
    </row>
    <row r="384" spans="1:5" x14ac:dyDescent="0.3">
      <c r="A384" t="s">
        <v>633</v>
      </c>
      <c r="B384" t="s">
        <v>1442</v>
      </c>
      <c r="C384" t="s">
        <v>672</v>
      </c>
      <c r="D384" t="s">
        <v>673</v>
      </c>
      <c r="E384" t="s">
        <v>3167</v>
      </c>
    </row>
    <row r="385" spans="1:5" hidden="1" x14ac:dyDescent="0.3">
      <c r="A385" t="s">
        <v>633</v>
      </c>
      <c r="B385" t="s">
        <v>674</v>
      </c>
      <c r="C385" t="s">
        <v>675</v>
      </c>
      <c r="D385" t="s">
        <v>635</v>
      </c>
      <c r="E385" t="s">
        <v>3167</v>
      </c>
    </row>
    <row r="386" spans="1:5" hidden="1" x14ac:dyDescent="0.3">
      <c r="A386" t="s">
        <v>633</v>
      </c>
      <c r="B386" t="s">
        <v>674</v>
      </c>
      <c r="C386" t="s">
        <v>676</v>
      </c>
      <c r="D386" t="s">
        <v>654</v>
      </c>
      <c r="E386" t="s">
        <v>3167</v>
      </c>
    </row>
    <row r="387" spans="1:5" hidden="1" x14ac:dyDescent="0.3">
      <c r="A387" t="s">
        <v>633</v>
      </c>
      <c r="B387" t="s">
        <v>677</v>
      </c>
      <c r="C387" t="s">
        <v>678</v>
      </c>
      <c r="D387" t="s">
        <v>635</v>
      </c>
      <c r="E387" t="s">
        <v>3167</v>
      </c>
    </row>
    <row r="388" spans="1:5" hidden="1" x14ac:dyDescent="0.3">
      <c r="A388" t="s">
        <v>633</v>
      </c>
      <c r="B388" t="s">
        <v>674</v>
      </c>
      <c r="C388" t="s">
        <v>679</v>
      </c>
      <c r="D388" t="s">
        <v>680</v>
      </c>
      <c r="E388" t="s">
        <v>3167</v>
      </c>
    </row>
    <row r="389" spans="1:5" hidden="1" x14ac:dyDescent="0.3">
      <c r="A389" t="s">
        <v>633</v>
      </c>
      <c r="B389" t="s">
        <v>674</v>
      </c>
      <c r="C389" t="s">
        <v>681</v>
      </c>
      <c r="D389" t="s">
        <v>682</v>
      </c>
      <c r="E389" t="s">
        <v>3167</v>
      </c>
    </row>
    <row r="390" spans="1:5" hidden="1" x14ac:dyDescent="0.3">
      <c r="A390" t="s">
        <v>633</v>
      </c>
      <c r="B390" t="s">
        <v>674</v>
      </c>
      <c r="C390" t="s">
        <v>683</v>
      </c>
      <c r="D390" t="s">
        <v>684</v>
      </c>
      <c r="E390" t="s">
        <v>3167</v>
      </c>
    </row>
    <row r="391" spans="1:5" hidden="1" x14ac:dyDescent="0.3">
      <c r="A391" t="s">
        <v>633</v>
      </c>
      <c r="B391" t="s">
        <v>674</v>
      </c>
      <c r="C391" t="s">
        <v>685</v>
      </c>
      <c r="D391" t="s">
        <v>686</v>
      </c>
      <c r="E391" t="s">
        <v>3167</v>
      </c>
    </row>
    <row r="392" spans="1:5" hidden="1" x14ac:dyDescent="0.3">
      <c r="A392" t="s">
        <v>633</v>
      </c>
      <c r="B392" t="s">
        <v>674</v>
      </c>
      <c r="C392" t="s">
        <v>687</v>
      </c>
      <c r="D392" t="s">
        <v>688</v>
      </c>
      <c r="E392" t="s">
        <v>3167</v>
      </c>
    </row>
    <row r="393" spans="1:5" hidden="1" x14ac:dyDescent="0.3">
      <c r="A393" t="s">
        <v>633</v>
      </c>
      <c r="B393" t="s">
        <v>674</v>
      </c>
      <c r="C393" t="s">
        <v>689</v>
      </c>
      <c r="D393" t="s">
        <v>690</v>
      </c>
      <c r="E393" t="s">
        <v>3167</v>
      </c>
    </row>
    <row r="394" spans="1:5" hidden="1" x14ac:dyDescent="0.3">
      <c r="A394" t="s">
        <v>633</v>
      </c>
      <c r="B394" t="s">
        <v>674</v>
      </c>
      <c r="C394" t="s">
        <v>691</v>
      </c>
      <c r="D394" t="s">
        <v>692</v>
      </c>
      <c r="E394" t="s">
        <v>3167</v>
      </c>
    </row>
    <row r="395" spans="1:5" hidden="1" x14ac:dyDescent="0.3">
      <c r="A395" t="s">
        <v>633</v>
      </c>
      <c r="B395" t="s">
        <v>674</v>
      </c>
      <c r="C395" t="s">
        <v>693</v>
      </c>
      <c r="D395" t="s">
        <v>694</v>
      </c>
      <c r="E395" t="s">
        <v>3167</v>
      </c>
    </row>
    <row r="396" spans="1:5" hidden="1" x14ac:dyDescent="0.3">
      <c r="A396" t="s">
        <v>633</v>
      </c>
      <c r="B396" t="s">
        <v>674</v>
      </c>
      <c r="C396" t="s">
        <v>695</v>
      </c>
      <c r="D396" t="s">
        <v>696</v>
      </c>
      <c r="E396" t="s">
        <v>3167</v>
      </c>
    </row>
    <row r="397" spans="1:5" hidden="1" x14ac:dyDescent="0.3">
      <c r="A397" t="s">
        <v>633</v>
      </c>
      <c r="B397" t="s">
        <v>697</v>
      </c>
      <c r="C397" t="s">
        <v>698</v>
      </c>
      <c r="D397" t="s">
        <v>635</v>
      </c>
      <c r="E397" t="s">
        <v>3167</v>
      </c>
    </row>
    <row r="398" spans="1:5" hidden="1" x14ac:dyDescent="0.3">
      <c r="A398" t="s">
        <v>633</v>
      </c>
      <c r="B398" t="s">
        <v>697</v>
      </c>
      <c r="C398" t="s">
        <v>699</v>
      </c>
      <c r="D398" t="s">
        <v>654</v>
      </c>
      <c r="E398" t="s">
        <v>3167</v>
      </c>
    </row>
    <row r="399" spans="1:5" hidden="1" x14ac:dyDescent="0.3">
      <c r="A399" t="s">
        <v>633</v>
      </c>
      <c r="B399" t="s">
        <v>700</v>
      </c>
      <c r="C399" t="s">
        <v>701</v>
      </c>
      <c r="D399" t="s">
        <v>635</v>
      </c>
      <c r="E399" t="s">
        <v>3167</v>
      </c>
    </row>
    <row r="400" spans="1:5" hidden="1" x14ac:dyDescent="0.3">
      <c r="A400" t="s">
        <v>633</v>
      </c>
      <c r="B400" t="s">
        <v>697</v>
      </c>
      <c r="C400" t="s">
        <v>702</v>
      </c>
      <c r="D400" t="s">
        <v>703</v>
      </c>
      <c r="E400" t="s">
        <v>3167</v>
      </c>
    </row>
    <row r="401" spans="1:5" hidden="1" x14ac:dyDescent="0.3">
      <c r="A401" t="s">
        <v>633</v>
      </c>
      <c r="B401" t="s">
        <v>697</v>
      </c>
      <c r="C401" t="s">
        <v>704</v>
      </c>
      <c r="D401" t="s">
        <v>705</v>
      </c>
      <c r="E401" t="s">
        <v>3167</v>
      </c>
    </row>
    <row r="402" spans="1:5" hidden="1" x14ac:dyDescent="0.3">
      <c r="A402" t="s">
        <v>633</v>
      </c>
      <c r="B402" t="s">
        <v>697</v>
      </c>
      <c r="C402" t="s">
        <v>706</v>
      </c>
      <c r="D402" t="s">
        <v>707</v>
      </c>
      <c r="E402" t="s">
        <v>3167</v>
      </c>
    </row>
    <row r="403" spans="1:5" hidden="1" x14ac:dyDescent="0.3">
      <c r="A403" t="s">
        <v>633</v>
      </c>
      <c r="B403" t="s">
        <v>697</v>
      </c>
      <c r="C403" t="s">
        <v>708</v>
      </c>
      <c r="D403" t="s">
        <v>709</v>
      </c>
      <c r="E403" t="s">
        <v>3167</v>
      </c>
    </row>
    <row r="404" spans="1:5" hidden="1" x14ac:dyDescent="0.3">
      <c r="A404" t="s">
        <v>633</v>
      </c>
      <c r="B404" t="s">
        <v>697</v>
      </c>
      <c r="C404" t="s">
        <v>710</v>
      </c>
      <c r="D404" t="s">
        <v>711</v>
      </c>
      <c r="E404" t="s">
        <v>3167</v>
      </c>
    </row>
    <row r="405" spans="1:5" hidden="1" x14ac:dyDescent="0.3">
      <c r="A405" t="s">
        <v>633</v>
      </c>
      <c r="B405" t="s">
        <v>697</v>
      </c>
      <c r="C405" t="s">
        <v>712</v>
      </c>
      <c r="D405" t="s">
        <v>713</v>
      </c>
      <c r="E405" t="s">
        <v>3167</v>
      </c>
    </row>
    <row r="406" spans="1:5" hidden="1" x14ac:dyDescent="0.3">
      <c r="A406" t="s">
        <v>633</v>
      </c>
      <c r="B406" t="s">
        <v>697</v>
      </c>
      <c r="C406" t="s">
        <v>714</v>
      </c>
      <c r="D406" t="s">
        <v>715</v>
      </c>
      <c r="E406" t="s">
        <v>3167</v>
      </c>
    </row>
    <row r="407" spans="1:5" hidden="1" x14ac:dyDescent="0.3">
      <c r="A407" t="s">
        <v>633</v>
      </c>
      <c r="B407" t="s">
        <v>697</v>
      </c>
      <c r="C407" t="s">
        <v>716</v>
      </c>
      <c r="D407" t="s">
        <v>717</v>
      </c>
      <c r="E407" t="s">
        <v>3167</v>
      </c>
    </row>
    <row r="408" spans="1:5" hidden="1" x14ac:dyDescent="0.3">
      <c r="A408" t="s">
        <v>633</v>
      </c>
      <c r="B408" t="s">
        <v>697</v>
      </c>
      <c r="C408" t="s">
        <v>718</v>
      </c>
      <c r="D408" t="s">
        <v>719</v>
      </c>
      <c r="E408" t="s">
        <v>3167</v>
      </c>
    </row>
    <row r="409" spans="1:5" hidden="1" x14ac:dyDescent="0.3">
      <c r="A409" t="s">
        <v>633</v>
      </c>
      <c r="B409" t="s">
        <v>720</v>
      </c>
      <c r="C409" t="s">
        <v>721</v>
      </c>
      <c r="D409" t="s">
        <v>635</v>
      </c>
      <c r="E409" t="s">
        <v>3167</v>
      </c>
    </row>
    <row r="410" spans="1:5" hidden="1" x14ac:dyDescent="0.3">
      <c r="A410" t="s">
        <v>633</v>
      </c>
      <c r="B410" t="s">
        <v>720</v>
      </c>
      <c r="C410" t="s">
        <v>722</v>
      </c>
      <c r="D410" t="s">
        <v>654</v>
      </c>
      <c r="E410" t="s">
        <v>3167</v>
      </c>
    </row>
    <row r="411" spans="1:5" hidden="1" x14ac:dyDescent="0.3">
      <c r="A411" t="s">
        <v>633</v>
      </c>
      <c r="B411" t="s">
        <v>720</v>
      </c>
      <c r="C411" t="s">
        <v>723</v>
      </c>
      <c r="D411" t="s">
        <v>724</v>
      </c>
      <c r="E411" t="s">
        <v>3167</v>
      </c>
    </row>
    <row r="412" spans="1:5" hidden="1" x14ac:dyDescent="0.3">
      <c r="A412" t="s">
        <v>633</v>
      </c>
      <c r="B412" t="s">
        <v>720</v>
      </c>
      <c r="C412" t="s">
        <v>725</v>
      </c>
      <c r="D412" t="s">
        <v>726</v>
      </c>
      <c r="E412" t="s">
        <v>3167</v>
      </c>
    </row>
    <row r="413" spans="1:5" hidden="1" x14ac:dyDescent="0.3">
      <c r="A413" t="s">
        <v>633</v>
      </c>
      <c r="B413" t="s">
        <v>720</v>
      </c>
      <c r="C413" t="s">
        <v>727</v>
      </c>
      <c r="D413" t="s">
        <v>728</v>
      </c>
      <c r="E413" t="s">
        <v>3167</v>
      </c>
    </row>
    <row r="414" spans="1:5" hidden="1" x14ac:dyDescent="0.3">
      <c r="A414" t="s">
        <v>633</v>
      </c>
      <c r="B414" t="s">
        <v>729</v>
      </c>
      <c r="C414" t="s">
        <v>730</v>
      </c>
      <c r="D414" t="s">
        <v>635</v>
      </c>
      <c r="E414" t="s">
        <v>3167</v>
      </c>
    </row>
    <row r="415" spans="1:5" hidden="1" x14ac:dyDescent="0.3">
      <c r="A415" t="s">
        <v>633</v>
      </c>
      <c r="B415" t="s">
        <v>729</v>
      </c>
      <c r="C415" t="s">
        <v>731</v>
      </c>
      <c r="D415" t="s">
        <v>654</v>
      </c>
      <c r="E415" t="s">
        <v>3167</v>
      </c>
    </row>
    <row r="416" spans="1:5" hidden="1" x14ac:dyDescent="0.3">
      <c r="A416" t="s">
        <v>633</v>
      </c>
      <c r="B416" t="s">
        <v>729</v>
      </c>
      <c r="C416" t="s">
        <v>732</v>
      </c>
      <c r="D416" t="s">
        <v>733</v>
      </c>
      <c r="E416" t="s">
        <v>3167</v>
      </c>
    </row>
    <row r="417" spans="1:5" hidden="1" x14ac:dyDescent="0.3">
      <c r="A417" t="s">
        <v>633</v>
      </c>
      <c r="B417" t="s">
        <v>729</v>
      </c>
      <c r="C417" t="s">
        <v>734</v>
      </c>
      <c r="D417" t="s">
        <v>735</v>
      </c>
      <c r="E417" t="s">
        <v>3167</v>
      </c>
    </row>
    <row r="418" spans="1:5" hidden="1" x14ac:dyDescent="0.3">
      <c r="A418" t="s">
        <v>633</v>
      </c>
      <c r="B418" t="s">
        <v>729</v>
      </c>
      <c r="C418" t="s">
        <v>736</v>
      </c>
      <c r="D418" t="s">
        <v>737</v>
      </c>
      <c r="E418" t="s">
        <v>3167</v>
      </c>
    </row>
    <row r="419" spans="1:5" hidden="1" x14ac:dyDescent="0.3">
      <c r="A419" t="s">
        <v>633</v>
      </c>
      <c r="B419" t="s">
        <v>738</v>
      </c>
      <c r="C419" t="s">
        <v>739</v>
      </c>
      <c r="D419" t="s">
        <v>635</v>
      </c>
      <c r="E419" t="s">
        <v>3167</v>
      </c>
    </row>
    <row r="420" spans="1:5" hidden="1" x14ac:dyDescent="0.3">
      <c r="A420" t="s">
        <v>633</v>
      </c>
      <c r="B420" t="s">
        <v>738</v>
      </c>
      <c r="C420" t="s">
        <v>740</v>
      </c>
      <c r="D420" t="s">
        <v>654</v>
      </c>
      <c r="E420" t="s">
        <v>3167</v>
      </c>
    </row>
    <row r="421" spans="1:5" hidden="1" x14ac:dyDescent="0.3">
      <c r="A421" t="s">
        <v>633</v>
      </c>
      <c r="B421" t="s">
        <v>738</v>
      </c>
      <c r="C421" t="s">
        <v>741</v>
      </c>
      <c r="D421" t="s">
        <v>742</v>
      </c>
      <c r="E421" t="s">
        <v>3167</v>
      </c>
    </row>
    <row r="422" spans="1:5" hidden="1" x14ac:dyDescent="0.3">
      <c r="A422" t="s">
        <v>633</v>
      </c>
      <c r="B422" t="s">
        <v>738</v>
      </c>
      <c r="C422" t="s">
        <v>743</v>
      </c>
      <c r="D422" t="s">
        <v>744</v>
      </c>
      <c r="E422" t="s">
        <v>3167</v>
      </c>
    </row>
    <row r="423" spans="1:5" hidden="1" x14ac:dyDescent="0.3">
      <c r="A423" t="s">
        <v>633</v>
      </c>
      <c r="B423" t="s">
        <v>738</v>
      </c>
      <c r="C423" t="s">
        <v>745</v>
      </c>
      <c r="D423" t="s">
        <v>746</v>
      </c>
      <c r="E423" t="s">
        <v>3167</v>
      </c>
    </row>
    <row r="424" spans="1:5" hidden="1" x14ac:dyDescent="0.3">
      <c r="A424" t="s">
        <v>633</v>
      </c>
      <c r="B424" t="s">
        <v>747</v>
      </c>
      <c r="C424" t="s">
        <v>748</v>
      </c>
      <c r="D424" t="s">
        <v>635</v>
      </c>
      <c r="E424" t="s">
        <v>3167</v>
      </c>
    </row>
    <row r="425" spans="1:5" hidden="1" x14ac:dyDescent="0.3">
      <c r="A425" t="s">
        <v>633</v>
      </c>
      <c r="B425" t="s">
        <v>747</v>
      </c>
      <c r="C425" t="s">
        <v>749</v>
      </c>
      <c r="D425" t="s">
        <v>654</v>
      </c>
      <c r="E425" t="s">
        <v>3167</v>
      </c>
    </row>
    <row r="426" spans="1:5" hidden="1" x14ac:dyDescent="0.3">
      <c r="A426" t="s">
        <v>633</v>
      </c>
      <c r="B426" t="s">
        <v>747</v>
      </c>
      <c r="C426" t="s">
        <v>750</v>
      </c>
      <c r="D426" t="s">
        <v>751</v>
      </c>
      <c r="E426" t="s">
        <v>3167</v>
      </c>
    </row>
    <row r="427" spans="1:5" hidden="1" x14ac:dyDescent="0.3">
      <c r="A427" t="s">
        <v>633</v>
      </c>
      <c r="B427" t="s">
        <v>747</v>
      </c>
      <c r="C427" t="s">
        <v>752</v>
      </c>
      <c r="D427" t="s">
        <v>753</v>
      </c>
      <c r="E427" t="s">
        <v>3167</v>
      </c>
    </row>
    <row r="428" spans="1:5" hidden="1" x14ac:dyDescent="0.3">
      <c r="A428" t="s">
        <v>633</v>
      </c>
      <c r="B428" t="s">
        <v>747</v>
      </c>
      <c r="C428" t="s">
        <v>754</v>
      </c>
      <c r="D428" t="s">
        <v>755</v>
      </c>
      <c r="E428" t="s">
        <v>3167</v>
      </c>
    </row>
    <row r="429" spans="1:5" hidden="1" x14ac:dyDescent="0.3">
      <c r="A429" t="s">
        <v>633</v>
      </c>
      <c r="B429" t="s">
        <v>756</v>
      </c>
      <c r="C429" t="s">
        <v>757</v>
      </c>
      <c r="D429" t="s">
        <v>635</v>
      </c>
      <c r="E429" t="s">
        <v>3167</v>
      </c>
    </row>
    <row r="430" spans="1:5" hidden="1" x14ac:dyDescent="0.3">
      <c r="A430" t="s">
        <v>633</v>
      </c>
      <c r="B430" t="s">
        <v>756</v>
      </c>
      <c r="C430" t="s">
        <v>758</v>
      </c>
      <c r="D430" t="s">
        <v>654</v>
      </c>
      <c r="E430" t="s">
        <v>3167</v>
      </c>
    </row>
    <row r="431" spans="1:5" hidden="1" x14ac:dyDescent="0.3">
      <c r="A431" t="s">
        <v>633</v>
      </c>
      <c r="B431" t="s">
        <v>759</v>
      </c>
      <c r="C431" t="s">
        <v>760</v>
      </c>
      <c r="D431" t="s">
        <v>635</v>
      </c>
      <c r="E431" t="s">
        <v>3167</v>
      </c>
    </row>
    <row r="432" spans="1:5" hidden="1" x14ac:dyDescent="0.3">
      <c r="A432" t="s">
        <v>633</v>
      </c>
      <c r="B432" t="s">
        <v>759</v>
      </c>
      <c r="C432" t="s">
        <v>761</v>
      </c>
      <c r="D432" t="s">
        <v>654</v>
      </c>
      <c r="E432" t="s">
        <v>3167</v>
      </c>
    </row>
    <row r="433" spans="1:5" hidden="1" x14ac:dyDescent="0.3">
      <c r="A433" t="s">
        <v>633</v>
      </c>
      <c r="B433" t="s">
        <v>759</v>
      </c>
      <c r="C433" t="s">
        <v>762</v>
      </c>
      <c r="D433" t="s">
        <v>763</v>
      </c>
      <c r="E433" t="s">
        <v>3167</v>
      </c>
    </row>
    <row r="434" spans="1:5" hidden="1" x14ac:dyDescent="0.3">
      <c r="A434" t="s">
        <v>633</v>
      </c>
      <c r="B434" t="s">
        <v>619</v>
      </c>
      <c r="C434" t="s">
        <v>764</v>
      </c>
      <c r="D434" t="s">
        <v>635</v>
      </c>
      <c r="E434" t="s">
        <v>3167</v>
      </c>
    </row>
    <row r="435" spans="1:5" hidden="1" x14ac:dyDescent="0.3">
      <c r="A435" t="s">
        <v>633</v>
      </c>
      <c r="B435" t="s">
        <v>619</v>
      </c>
      <c r="C435" t="s">
        <v>765</v>
      </c>
      <c r="D435" t="s">
        <v>639</v>
      </c>
      <c r="E435" t="s">
        <v>3167</v>
      </c>
    </row>
    <row r="436" spans="1:5" hidden="1" x14ac:dyDescent="0.3">
      <c r="A436" t="s">
        <v>633</v>
      </c>
      <c r="B436" t="s">
        <v>619</v>
      </c>
      <c r="C436" t="s">
        <v>766</v>
      </c>
      <c r="D436" t="s">
        <v>637</v>
      </c>
      <c r="E436" t="s">
        <v>3167</v>
      </c>
    </row>
    <row r="437" spans="1:5" hidden="1" x14ac:dyDescent="0.3">
      <c r="A437" t="s">
        <v>633</v>
      </c>
      <c r="B437" t="s">
        <v>767</v>
      </c>
      <c r="C437" t="s">
        <v>768</v>
      </c>
      <c r="D437" t="s">
        <v>654</v>
      </c>
      <c r="E437" t="s">
        <v>3167</v>
      </c>
    </row>
    <row r="438" spans="1:5" hidden="1" x14ac:dyDescent="0.3">
      <c r="A438" t="s">
        <v>633</v>
      </c>
      <c r="B438" t="s">
        <v>767</v>
      </c>
      <c r="C438" t="s">
        <v>769</v>
      </c>
      <c r="D438" t="s">
        <v>635</v>
      </c>
      <c r="E438" t="s">
        <v>3167</v>
      </c>
    </row>
    <row r="439" spans="1:5" hidden="1" x14ac:dyDescent="0.3">
      <c r="A439" t="s">
        <v>633</v>
      </c>
      <c r="B439" t="s">
        <v>767</v>
      </c>
      <c r="C439" t="s">
        <v>770</v>
      </c>
      <c r="D439" t="s">
        <v>771</v>
      </c>
      <c r="E439" t="s">
        <v>3167</v>
      </c>
    </row>
    <row r="440" spans="1:5" hidden="1" x14ac:dyDescent="0.3">
      <c r="A440" t="s">
        <v>633</v>
      </c>
      <c r="B440" t="s">
        <v>767</v>
      </c>
      <c r="C440" t="s">
        <v>772</v>
      </c>
      <c r="D440" t="s">
        <v>773</v>
      </c>
      <c r="E440" t="s">
        <v>3167</v>
      </c>
    </row>
    <row r="441" spans="1:5" hidden="1" x14ac:dyDescent="0.3">
      <c r="A441" t="s">
        <v>633</v>
      </c>
      <c r="B441" t="s">
        <v>774</v>
      </c>
      <c r="C441" t="s">
        <v>775</v>
      </c>
      <c r="D441" t="s">
        <v>654</v>
      </c>
      <c r="E441" t="s">
        <v>3167</v>
      </c>
    </row>
    <row r="442" spans="1:5" hidden="1" x14ac:dyDescent="0.3">
      <c r="A442" t="s">
        <v>633</v>
      </c>
      <c r="B442" t="s">
        <v>774</v>
      </c>
      <c r="C442" t="s">
        <v>776</v>
      </c>
      <c r="D442" t="s">
        <v>635</v>
      </c>
      <c r="E442" t="s">
        <v>3167</v>
      </c>
    </row>
    <row r="443" spans="1:5" hidden="1" x14ac:dyDescent="0.3">
      <c r="A443" t="s">
        <v>633</v>
      </c>
      <c r="B443" t="s">
        <v>774</v>
      </c>
      <c r="C443" t="s">
        <v>777</v>
      </c>
      <c r="D443" t="s">
        <v>778</v>
      </c>
      <c r="E443" t="s">
        <v>3167</v>
      </c>
    </row>
    <row r="444" spans="1:5" hidden="1" x14ac:dyDescent="0.3">
      <c r="A444" t="s">
        <v>633</v>
      </c>
      <c r="B444" t="s">
        <v>774</v>
      </c>
      <c r="C444" t="s">
        <v>779</v>
      </c>
      <c r="D444" t="s">
        <v>780</v>
      </c>
      <c r="E444" t="s">
        <v>3167</v>
      </c>
    </row>
    <row r="445" spans="1:5" hidden="1" x14ac:dyDescent="0.3">
      <c r="A445" t="s">
        <v>633</v>
      </c>
      <c r="B445" t="s">
        <v>781</v>
      </c>
      <c r="C445" t="s">
        <v>782</v>
      </c>
      <c r="D445" t="s">
        <v>654</v>
      </c>
      <c r="E445" t="s">
        <v>3167</v>
      </c>
    </row>
    <row r="446" spans="1:5" hidden="1" x14ac:dyDescent="0.3">
      <c r="A446" t="s">
        <v>633</v>
      </c>
      <c r="B446" t="s">
        <v>781</v>
      </c>
      <c r="C446" t="s">
        <v>783</v>
      </c>
      <c r="D446" t="s">
        <v>635</v>
      </c>
      <c r="E446" t="s">
        <v>3167</v>
      </c>
    </row>
    <row r="447" spans="1:5" hidden="1" x14ac:dyDescent="0.3">
      <c r="A447" t="s">
        <v>633</v>
      </c>
      <c r="B447" t="s">
        <v>781</v>
      </c>
      <c r="C447" t="s">
        <v>784</v>
      </c>
      <c r="D447" t="s">
        <v>785</v>
      </c>
      <c r="E447" t="s">
        <v>3167</v>
      </c>
    </row>
    <row r="448" spans="1:5" hidden="1" x14ac:dyDescent="0.3">
      <c r="A448" t="s">
        <v>633</v>
      </c>
      <c r="B448" t="s">
        <v>781</v>
      </c>
      <c r="C448" t="s">
        <v>786</v>
      </c>
      <c r="D448" t="s">
        <v>787</v>
      </c>
      <c r="E448" t="s">
        <v>3167</v>
      </c>
    </row>
    <row r="449" spans="1:5" hidden="1" x14ac:dyDescent="0.3">
      <c r="A449" t="s">
        <v>633</v>
      </c>
      <c r="B449" t="s">
        <v>788</v>
      </c>
      <c r="C449" t="s">
        <v>789</v>
      </c>
      <c r="D449" t="s">
        <v>654</v>
      </c>
      <c r="E449" t="s">
        <v>3167</v>
      </c>
    </row>
    <row r="450" spans="1:5" hidden="1" x14ac:dyDescent="0.3">
      <c r="A450" t="s">
        <v>633</v>
      </c>
      <c r="B450" t="s">
        <v>788</v>
      </c>
      <c r="C450" t="s">
        <v>790</v>
      </c>
      <c r="D450" t="s">
        <v>635</v>
      </c>
      <c r="E450" t="s">
        <v>3167</v>
      </c>
    </row>
    <row r="451" spans="1:5" hidden="1" x14ac:dyDescent="0.3">
      <c r="A451" t="s">
        <v>633</v>
      </c>
      <c r="B451" t="s">
        <v>788</v>
      </c>
      <c r="C451" t="s">
        <v>791</v>
      </c>
      <c r="D451" t="s">
        <v>792</v>
      </c>
      <c r="E451" t="s">
        <v>3167</v>
      </c>
    </row>
    <row r="452" spans="1:5" hidden="1" x14ac:dyDescent="0.3">
      <c r="A452" t="s">
        <v>633</v>
      </c>
      <c r="B452" t="s">
        <v>788</v>
      </c>
      <c r="C452" t="s">
        <v>793</v>
      </c>
      <c r="D452" t="s">
        <v>794</v>
      </c>
      <c r="E452" t="s">
        <v>3167</v>
      </c>
    </row>
    <row r="453" spans="1:5" hidden="1" x14ac:dyDescent="0.3">
      <c r="A453" t="s">
        <v>633</v>
      </c>
      <c r="B453" t="s">
        <v>795</v>
      </c>
      <c r="C453" t="s">
        <v>796</v>
      </c>
      <c r="D453" t="s">
        <v>654</v>
      </c>
      <c r="E453" t="s">
        <v>3167</v>
      </c>
    </row>
    <row r="454" spans="1:5" hidden="1" x14ac:dyDescent="0.3">
      <c r="A454" t="s">
        <v>633</v>
      </c>
      <c r="B454" t="s">
        <v>795</v>
      </c>
      <c r="C454" t="s">
        <v>797</v>
      </c>
      <c r="D454" t="s">
        <v>635</v>
      </c>
      <c r="E454" t="s">
        <v>3167</v>
      </c>
    </row>
    <row r="455" spans="1:5" hidden="1" x14ac:dyDescent="0.3">
      <c r="A455" t="s">
        <v>633</v>
      </c>
      <c r="B455" t="s">
        <v>795</v>
      </c>
      <c r="C455" t="s">
        <v>798</v>
      </c>
      <c r="D455" t="s">
        <v>799</v>
      </c>
      <c r="E455" t="s">
        <v>3167</v>
      </c>
    </row>
    <row r="456" spans="1:5" hidden="1" x14ac:dyDescent="0.3">
      <c r="A456" t="s">
        <v>633</v>
      </c>
      <c r="B456" t="s">
        <v>795</v>
      </c>
      <c r="C456" t="s">
        <v>800</v>
      </c>
      <c r="D456" t="s">
        <v>801</v>
      </c>
      <c r="E456" t="s">
        <v>3167</v>
      </c>
    </row>
    <row r="457" spans="1:5" hidden="1" x14ac:dyDescent="0.3">
      <c r="A457" t="s">
        <v>633</v>
      </c>
      <c r="B457" t="s">
        <v>802</v>
      </c>
      <c r="C457" t="s">
        <v>803</v>
      </c>
      <c r="D457" t="s">
        <v>654</v>
      </c>
      <c r="E457" t="s">
        <v>3167</v>
      </c>
    </row>
    <row r="458" spans="1:5" hidden="1" x14ac:dyDescent="0.3">
      <c r="A458" t="s">
        <v>633</v>
      </c>
      <c r="B458" t="s">
        <v>802</v>
      </c>
      <c r="C458" t="s">
        <v>804</v>
      </c>
      <c r="D458" t="s">
        <v>635</v>
      </c>
      <c r="E458" t="s">
        <v>3167</v>
      </c>
    </row>
    <row r="459" spans="1:5" hidden="1" x14ac:dyDescent="0.3">
      <c r="A459" t="s">
        <v>633</v>
      </c>
      <c r="B459" t="s">
        <v>805</v>
      </c>
      <c r="C459" t="s">
        <v>806</v>
      </c>
      <c r="D459" t="s">
        <v>807</v>
      </c>
      <c r="E459" t="s">
        <v>3167</v>
      </c>
    </row>
    <row r="460" spans="1:5" hidden="1" x14ac:dyDescent="0.3">
      <c r="A460" t="s">
        <v>633</v>
      </c>
      <c r="B460" t="s">
        <v>808</v>
      </c>
      <c r="C460" t="s">
        <v>809</v>
      </c>
      <c r="D460" t="s">
        <v>810</v>
      </c>
      <c r="E460" t="s">
        <v>3167</v>
      </c>
    </row>
    <row r="461" spans="1:5" hidden="1" x14ac:dyDescent="0.3">
      <c r="A461" t="s">
        <v>633</v>
      </c>
      <c r="B461" t="s">
        <v>808</v>
      </c>
      <c r="C461" t="s">
        <v>811</v>
      </c>
      <c r="D461" t="s">
        <v>812</v>
      </c>
      <c r="E461" t="s">
        <v>3167</v>
      </c>
    </row>
    <row r="462" spans="1:5" hidden="1" x14ac:dyDescent="0.3">
      <c r="A462" t="s">
        <v>633</v>
      </c>
      <c r="B462" t="s">
        <v>813</v>
      </c>
      <c r="C462" t="s">
        <v>814</v>
      </c>
      <c r="D462" t="s">
        <v>810</v>
      </c>
      <c r="E462" t="s">
        <v>3167</v>
      </c>
    </row>
    <row r="463" spans="1:5" hidden="1" x14ac:dyDescent="0.3">
      <c r="A463" t="s">
        <v>633</v>
      </c>
      <c r="B463" t="s">
        <v>813</v>
      </c>
      <c r="C463" t="s">
        <v>815</v>
      </c>
      <c r="D463" t="s">
        <v>812</v>
      </c>
      <c r="E463" t="s">
        <v>3167</v>
      </c>
    </row>
    <row r="464" spans="1:5" hidden="1" x14ac:dyDescent="0.3">
      <c r="A464" t="s">
        <v>633</v>
      </c>
      <c r="B464" t="s">
        <v>813</v>
      </c>
      <c r="C464" t="s">
        <v>3184</v>
      </c>
      <c r="D464" t="s">
        <v>816</v>
      </c>
      <c r="E464" t="s">
        <v>3167</v>
      </c>
    </row>
    <row r="465" spans="1:5" hidden="1" x14ac:dyDescent="0.3">
      <c r="A465" t="s">
        <v>633</v>
      </c>
      <c r="B465" t="s">
        <v>813</v>
      </c>
      <c r="C465" t="s">
        <v>3185</v>
      </c>
      <c r="D465" t="s">
        <v>817</v>
      </c>
      <c r="E465" t="s">
        <v>3167</v>
      </c>
    </row>
    <row r="466" spans="1:5" hidden="1" x14ac:dyDescent="0.3">
      <c r="A466" t="s">
        <v>633</v>
      </c>
      <c r="B466" t="s">
        <v>813</v>
      </c>
      <c r="C466" t="s">
        <v>3186</v>
      </c>
      <c r="D466" t="s">
        <v>818</v>
      </c>
      <c r="E466" t="s">
        <v>3167</v>
      </c>
    </row>
    <row r="467" spans="1:5" hidden="1" x14ac:dyDescent="0.3">
      <c r="A467" t="s">
        <v>633</v>
      </c>
      <c r="B467" t="s">
        <v>813</v>
      </c>
      <c r="C467" t="s">
        <v>3187</v>
      </c>
      <c r="D467" t="s">
        <v>819</v>
      </c>
      <c r="E467" t="s">
        <v>3167</v>
      </c>
    </row>
    <row r="468" spans="1:5" hidden="1" x14ac:dyDescent="0.3">
      <c r="A468" t="s">
        <v>633</v>
      </c>
      <c r="B468" t="s">
        <v>813</v>
      </c>
      <c r="C468" t="s">
        <v>3188</v>
      </c>
      <c r="D468" t="s">
        <v>820</v>
      </c>
      <c r="E468" t="s">
        <v>3167</v>
      </c>
    </row>
    <row r="469" spans="1:5" hidden="1" x14ac:dyDescent="0.3">
      <c r="A469" t="s">
        <v>633</v>
      </c>
      <c r="B469" t="s">
        <v>813</v>
      </c>
      <c r="C469" t="s">
        <v>3189</v>
      </c>
      <c r="D469" t="s">
        <v>821</v>
      </c>
      <c r="E469" t="s">
        <v>3167</v>
      </c>
    </row>
    <row r="470" spans="1:5" hidden="1" x14ac:dyDescent="0.3">
      <c r="A470" t="s">
        <v>633</v>
      </c>
      <c r="B470" t="s">
        <v>813</v>
      </c>
      <c r="C470" t="s">
        <v>822</v>
      </c>
      <c r="D470" t="s">
        <v>823</v>
      </c>
      <c r="E470" t="s">
        <v>3167</v>
      </c>
    </row>
    <row r="471" spans="1:5" hidden="1" x14ac:dyDescent="0.3">
      <c r="A471" t="s">
        <v>633</v>
      </c>
      <c r="B471" t="s">
        <v>813</v>
      </c>
      <c r="C471" t="s">
        <v>824</v>
      </c>
      <c r="D471" t="s">
        <v>825</v>
      </c>
      <c r="E471" t="s">
        <v>3167</v>
      </c>
    </row>
    <row r="472" spans="1:5" hidden="1" x14ac:dyDescent="0.3">
      <c r="A472" t="s">
        <v>633</v>
      </c>
      <c r="B472" t="s">
        <v>813</v>
      </c>
      <c r="C472" t="s">
        <v>826</v>
      </c>
      <c r="D472" t="s">
        <v>827</v>
      </c>
      <c r="E472" t="s">
        <v>3167</v>
      </c>
    </row>
    <row r="473" spans="1:5" hidden="1" x14ac:dyDescent="0.3">
      <c r="A473" t="s">
        <v>633</v>
      </c>
      <c r="B473" t="s">
        <v>813</v>
      </c>
      <c r="C473" t="s">
        <v>3190</v>
      </c>
      <c r="D473" t="s">
        <v>828</v>
      </c>
      <c r="E473" t="s">
        <v>3167</v>
      </c>
    </row>
    <row r="474" spans="1:5" hidden="1" x14ac:dyDescent="0.3">
      <c r="A474" t="s">
        <v>633</v>
      </c>
      <c r="B474" t="s">
        <v>813</v>
      </c>
      <c r="C474" t="s">
        <v>3191</v>
      </c>
      <c r="D474" t="s">
        <v>829</v>
      </c>
      <c r="E474" t="s">
        <v>3167</v>
      </c>
    </row>
    <row r="475" spans="1:5" hidden="1" x14ac:dyDescent="0.3">
      <c r="A475" t="s">
        <v>633</v>
      </c>
      <c r="B475" t="s">
        <v>813</v>
      </c>
      <c r="C475" t="s">
        <v>3192</v>
      </c>
      <c r="D475" t="s">
        <v>830</v>
      </c>
      <c r="E475" t="s">
        <v>3167</v>
      </c>
    </row>
    <row r="476" spans="1:5" hidden="1" x14ac:dyDescent="0.3">
      <c r="A476" t="s">
        <v>633</v>
      </c>
      <c r="B476" t="s">
        <v>813</v>
      </c>
      <c r="C476" t="s">
        <v>831</v>
      </c>
      <c r="D476" t="s">
        <v>832</v>
      </c>
      <c r="E476" t="s">
        <v>3167</v>
      </c>
    </row>
    <row r="477" spans="1:5" hidden="1" x14ac:dyDescent="0.3">
      <c r="A477" t="s">
        <v>633</v>
      </c>
      <c r="B477" t="s">
        <v>813</v>
      </c>
      <c r="C477" t="s">
        <v>3193</v>
      </c>
      <c r="D477" t="s">
        <v>3194</v>
      </c>
      <c r="E477" t="s">
        <v>3167</v>
      </c>
    </row>
    <row r="478" spans="1:5" hidden="1" x14ac:dyDescent="0.3">
      <c r="A478" t="s">
        <v>633</v>
      </c>
      <c r="B478" t="s">
        <v>813</v>
      </c>
      <c r="C478" t="s">
        <v>3195</v>
      </c>
      <c r="D478" t="s">
        <v>833</v>
      </c>
      <c r="E478" t="s">
        <v>3167</v>
      </c>
    </row>
    <row r="479" spans="1:5" hidden="1" x14ac:dyDescent="0.3">
      <c r="A479" t="s">
        <v>633</v>
      </c>
      <c r="B479" t="s">
        <v>813</v>
      </c>
      <c r="C479" t="s">
        <v>834</v>
      </c>
      <c r="D479" t="s">
        <v>835</v>
      </c>
      <c r="E479" t="s">
        <v>3167</v>
      </c>
    </row>
    <row r="480" spans="1:5" hidden="1" x14ac:dyDescent="0.3">
      <c r="A480" t="s">
        <v>633</v>
      </c>
      <c r="B480" t="s">
        <v>813</v>
      </c>
      <c r="C480" t="s">
        <v>3196</v>
      </c>
      <c r="D480" t="s">
        <v>836</v>
      </c>
      <c r="E480" t="s">
        <v>3167</v>
      </c>
    </row>
    <row r="481" spans="1:7" hidden="1" x14ac:dyDescent="0.3">
      <c r="A481" t="s">
        <v>633</v>
      </c>
      <c r="B481" t="s">
        <v>813</v>
      </c>
      <c r="C481" t="s">
        <v>3197</v>
      </c>
      <c r="D481" t="s">
        <v>837</v>
      </c>
      <c r="E481" t="s">
        <v>3167</v>
      </c>
    </row>
    <row r="482" spans="1:7" hidden="1" x14ac:dyDescent="0.3">
      <c r="A482" t="s">
        <v>633</v>
      </c>
      <c r="B482" t="s">
        <v>838</v>
      </c>
      <c r="C482" t="s">
        <v>839</v>
      </c>
      <c r="D482" t="s">
        <v>654</v>
      </c>
      <c r="E482" t="s">
        <v>3167</v>
      </c>
    </row>
    <row r="483" spans="1:7" hidden="1" x14ac:dyDescent="0.3">
      <c r="A483" t="s">
        <v>633</v>
      </c>
      <c r="B483" t="s">
        <v>838</v>
      </c>
      <c r="C483" t="s">
        <v>840</v>
      </c>
      <c r="D483" t="s">
        <v>635</v>
      </c>
      <c r="E483" t="s">
        <v>3167</v>
      </c>
    </row>
    <row r="484" spans="1:7" hidden="1" x14ac:dyDescent="0.3">
      <c r="A484" t="s">
        <v>633</v>
      </c>
      <c r="B484" t="s">
        <v>838</v>
      </c>
      <c r="C484" t="s">
        <v>841</v>
      </c>
      <c r="D484" t="s">
        <v>842</v>
      </c>
      <c r="E484" t="s">
        <v>3167</v>
      </c>
    </row>
    <row r="485" spans="1:7" hidden="1" x14ac:dyDescent="0.3">
      <c r="A485" t="s">
        <v>633</v>
      </c>
      <c r="B485" t="s">
        <v>843</v>
      </c>
      <c r="C485" t="s">
        <v>844</v>
      </c>
      <c r="D485" t="s">
        <v>654</v>
      </c>
      <c r="E485" t="s">
        <v>3167</v>
      </c>
    </row>
    <row r="486" spans="1:7" hidden="1" x14ac:dyDescent="0.3">
      <c r="A486" t="s">
        <v>633</v>
      </c>
      <c r="B486" t="s">
        <v>843</v>
      </c>
      <c r="C486" t="s">
        <v>845</v>
      </c>
      <c r="D486" t="s">
        <v>635</v>
      </c>
      <c r="E486" t="s">
        <v>3167</v>
      </c>
    </row>
    <row r="487" spans="1:7" hidden="1" x14ac:dyDescent="0.3">
      <c r="A487" t="s">
        <v>633</v>
      </c>
      <c r="B487" t="s">
        <v>843</v>
      </c>
      <c r="C487" t="s">
        <v>846</v>
      </c>
      <c r="D487" t="s">
        <v>847</v>
      </c>
      <c r="E487" t="s">
        <v>3167</v>
      </c>
    </row>
    <row r="488" spans="1:7" hidden="1" x14ac:dyDescent="0.3">
      <c r="A488" t="s">
        <v>633</v>
      </c>
      <c r="B488" t="s">
        <v>843</v>
      </c>
      <c r="C488" t="s">
        <v>848</v>
      </c>
      <c r="D488" t="s">
        <v>849</v>
      </c>
      <c r="E488" t="s">
        <v>3167</v>
      </c>
    </row>
    <row r="489" spans="1:7" hidden="1" x14ac:dyDescent="0.3">
      <c r="A489" t="s">
        <v>633</v>
      </c>
      <c r="B489" t="s">
        <v>843</v>
      </c>
      <c r="C489" t="s">
        <v>850</v>
      </c>
      <c r="D489" t="s">
        <v>851</v>
      </c>
      <c r="E489" t="s">
        <v>3167</v>
      </c>
    </row>
    <row r="490" spans="1:7" hidden="1" x14ac:dyDescent="0.3">
      <c r="A490" t="s">
        <v>633</v>
      </c>
      <c r="B490" t="s">
        <v>852</v>
      </c>
      <c r="C490" t="s">
        <v>853</v>
      </c>
      <c r="D490" t="s">
        <v>654</v>
      </c>
      <c r="E490" t="s">
        <v>3167</v>
      </c>
    </row>
    <row r="491" spans="1:7" hidden="1" x14ac:dyDescent="0.3">
      <c r="A491" t="s">
        <v>633</v>
      </c>
      <c r="B491" t="s">
        <v>852</v>
      </c>
      <c r="C491" t="s">
        <v>854</v>
      </c>
      <c r="D491" t="s">
        <v>635</v>
      </c>
      <c r="E491" t="s">
        <v>3167</v>
      </c>
    </row>
    <row r="492" spans="1:7" hidden="1" x14ac:dyDescent="0.3">
      <c r="A492" t="s">
        <v>633</v>
      </c>
      <c r="B492" t="s">
        <v>852</v>
      </c>
      <c r="C492" t="s">
        <v>855</v>
      </c>
      <c r="D492" t="s">
        <v>856</v>
      </c>
      <c r="E492" t="s">
        <v>3167</v>
      </c>
    </row>
    <row r="493" spans="1:7" hidden="1" x14ac:dyDescent="0.3">
      <c r="A493" t="s">
        <v>633</v>
      </c>
      <c r="B493" t="s">
        <v>852</v>
      </c>
      <c r="C493" t="s">
        <v>3198</v>
      </c>
      <c r="D493" t="s">
        <v>856</v>
      </c>
      <c r="E493" t="s">
        <v>3167</v>
      </c>
      <c r="G493" t="s">
        <v>3199</v>
      </c>
    </row>
    <row r="494" spans="1:7" hidden="1" x14ac:dyDescent="0.3">
      <c r="A494" t="s">
        <v>633</v>
      </c>
      <c r="B494" t="s">
        <v>857</v>
      </c>
      <c r="C494" t="s">
        <v>858</v>
      </c>
      <c r="D494" t="s">
        <v>654</v>
      </c>
      <c r="E494" t="s">
        <v>3167</v>
      </c>
    </row>
    <row r="495" spans="1:7" hidden="1" x14ac:dyDescent="0.3">
      <c r="A495" t="s">
        <v>633</v>
      </c>
      <c r="B495" t="s">
        <v>857</v>
      </c>
      <c r="C495" t="s">
        <v>859</v>
      </c>
      <c r="D495" t="s">
        <v>635</v>
      </c>
      <c r="E495" t="s">
        <v>3167</v>
      </c>
    </row>
    <row r="496" spans="1:7" hidden="1" x14ac:dyDescent="0.3">
      <c r="A496" t="s">
        <v>633</v>
      </c>
      <c r="B496" t="s">
        <v>857</v>
      </c>
      <c r="C496" t="s">
        <v>860</v>
      </c>
      <c r="D496" t="s">
        <v>861</v>
      </c>
      <c r="E496" t="s">
        <v>3167</v>
      </c>
    </row>
    <row r="497" spans="1:5" hidden="1" x14ac:dyDescent="0.3">
      <c r="A497" t="s">
        <v>633</v>
      </c>
      <c r="B497" t="s">
        <v>857</v>
      </c>
      <c r="C497" t="s">
        <v>862</v>
      </c>
      <c r="D497" t="s">
        <v>863</v>
      </c>
      <c r="E497" t="s">
        <v>3167</v>
      </c>
    </row>
    <row r="498" spans="1:5" hidden="1" x14ac:dyDescent="0.3">
      <c r="A498" t="s">
        <v>633</v>
      </c>
      <c r="B498" t="s">
        <v>857</v>
      </c>
      <c r="C498" t="s">
        <v>864</v>
      </c>
      <c r="D498" t="s">
        <v>865</v>
      </c>
      <c r="E498" t="s">
        <v>3167</v>
      </c>
    </row>
    <row r="499" spans="1:5" hidden="1" x14ac:dyDescent="0.3">
      <c r="A499" t="s">
        <v>633</v>
      </c>
      <c r="B499" t="s">
        <v>866</v>
      </c>
      <c r="C499" t="s">
        <v>867</v>
      </c>
      <c r="D499" t="s">
        <v>654</v>
      </c>
      <c r="E499" t="s">
        <v>3167</v>
      </c>
    </row>
    <row r="500" spans="1:5" hidden="1" x14ac:dyDescent="0.3">
      <c r="A500" t="s">
        <v>633</v>
      </c>
      <c r="B500" t="s">
        <v>866</v>
      </c>
      <c r="C500" t="s">
        <v>868</v>
      </c>
      <c r="D500" t="s">
        <v>635</v>
      </c>
      <c r="E500" t="s">
        <v>3167</v>
      </c>
    </row>
    <row r="501" spans="1:5" hidden="1" x14ac:dyDescent="0.3">
      <c r="A501" t="s">
        <v>633</v>
      </c>
      <c r="B501" t="s">
        <v>866</v>
      </c>
      <c r="C501" t="s">
        <v>869</v>
      </c>
      <c r="D501" t="s">
        <v>870</v>
      </c>
    </row>
    <row r="502" spans="1:5" hidden="1" x14ac:dyDescent="0.3">
      <c r="A502" t="s">
        <v>871</v>
      </c>
    </row>
    <row r="503" spans="1:5" hidden="1" x14ac:dyDescent="0.3">
      <c r="A503" t="s">
        <v>872</v>
      </c>
      <c r="B503" t="s">
        <v>566</v>
      </c>
      <c r="C503" t="s">
        <v>3200</v>
      </c>
      <c r="D503" t="s">
        <v>628</v>
      </c>
      <c r="E503" t="s">
        <v>3167</v>
      </c>
    </row>
    <row r="504" spans="1:5" hidden="1" x14ac:dyDescent="0.3">
      <c r="A504" t="s">
        <v>872</v>
      </c>
      <c r="B504" t="s">
        <v>567</v>
      </c>
      <c r="C504" t="s">
        <v>3201</v>
      </c>
      <c r="D504" t="s">
        <v>628</v>
      </c>
      <c r="E504" t="s">
        <v>3167</v>
      </c>
    </row>
    <row r="505" spans="1:5" hidden="1" x14ac:dyDescent="0.3">
      <c r="A505" t="s">
        <v>872</v>
      </c>
      <c r="B505" t="s">
        <v>622</v>
      </c>
      <c r="C505" t="s">
        <v>873</v>
      </c>
      <c r="D505" t="s">
        <v>628</v>
      </c>
      <c r="E505" t="s">
        <v>3167</v>
      </c>
    </row>
    <row r="506" spans="1:5" hidden="1" x14ac:dyDescent="0.3">
      <c r="A506" t="s">
        <v>872</v>
      </c>
      <c r="B506" t="s">
        <v>623</v>
      </c>
      <c r="C506" t="s">
        <v>874</v>
      </c>
      <c r="D506" t="s">
        <v>628</v>
      </c>
      <c r="E506" t="s">
        <v>3167</v>
      </c>
    </row>
    <row r="507" spans="1:5" hidden="1" x14ac:dyDescent="0.3">
      <c r="A507" t="s">
        <v>872</v>
      </c>
      <c r="B507" t="s">
        <v>629</v>
      </c>
      <c r="C507" t="s">
        <v>3202</v>
      </c>
      <c r="D507" t="s">
        <v>628</v>
      </c>
      <c r="E507" t="s">
        <v>3167</v>
      </c>
    </row>
    <row r="508" spans="1:5" hidden="1" x14ac:dyDescent="0.3">
      <c r="A508" t="s">
        <v>872</v>
      </c>
      <c r="B508" t="s">
        <v>619</v>
      </c>
      <c r="C508" t="s">
        <v>875</v>
      </c>
      <c r="D50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66B37-F4E4-4210-A9FF-63FC942EFA54}">
  <sheetPr codeName="Sheet1">
    <tabColor theme="1" tint="4.9989318521683403E-2"/>
  </sheetPr>
  <dimension ref="A1:C21"/>
  <sheetViews>
    <sheetView workbookViewId="0">
      <selection activeCell="A9" sqref="A9:A10"/>
    </sheetView>
  </sheetViews>
  <sheetFormatPr defaultRowHeight="16.5" x14ac:dyDescent="0.3"/>
  <cols>
    <col min="1" max="1" width="109.25" customWidth="1"/>
  </cols>
  <sheetData>
    <row r="1" spans="1:3" x14ac:dyDescent="0.3">
      <c r="A1" t="s">
        <v>1441</v>
      </c>
      <c r="C1" t="s">
        <v>1484</v>
      </c>
    </row>
    <row r="2" spans="1:3" x14ac:dyDescent="0.3">
      <c r="A2" t="s">
        <v>176</v>
      </c>
    </row>
    <row r="3" spans="1:3" x14ac:dyDescent="0.3">
      <c r="A3" t="s">
        <v>881</v>
      </c>
    </row>
    <row r="4" spans="1:3" x14ac:dyDescent="0.3">
      <c r="A4" t="s">
        <v>1439</v>
      </c>
    </row>
    <row r="5" spans="1:3" x14ac:dyDescent="0.3">
      <c r="A5" t="s">
        <v>1440</v>
      </c>
    </row>
    <row r="6" spans="1:3" x14ac:dyDescent="0.3">
      <c r="A6" t="s">
        <v>206</v>
      </c>
    </row>
    <row r="7" spans="1:3" x14ac:dyDescent="0.3">
      <c r="A7" t="s">
        <v>177</v>
      </c>
    </row>
    <row r="8" spans="1:3" x14ac:dyDescent="0.3">
      <c r="A8" t="s">
        <v>1438</v>
      </c>
    </row>
    <row r="9" spans="1:3" x14ac:dyDescent="0.3">
      <c r="A9" t="s">
        <v>1437</v>
      </c>
    </row>
    <row r="10" spans="1:3" x14ac:dyDescent="0.3">
      <c r="A10" t="s">
        <v>1497</v>
      </c>
    </row>
    <row r="14" spans="1:3" x14ac:dyDescent="0.3">
      <c r="A14" t="s">
        <v>1441</v>
      </c>
    </row>
    <row r="15" spans="1:3" x14ac:dyDescent="0.3">
      <c r="A15" t="s">
        <v>176</v>
      </c>
    </row>
    <row r="16" spans="1:3" x14ac:dyDescent="0.3">
      <c r="A16" t="s">
        <v>881</v>
      </c>
    </row>
    <row r="17" spans="1:1" x14ac:dyDescent="0.3">
      <c r="A17" t="s">
        <v>1439</v>
      </c>
    </row>
    <row r="18" spans="1:1" x14ac:dyDescent="0.3">
      <c r="A18" t="s">
        <v>1440</v>
      </c>
    </row>
    <row r="19" spans="1:1" x14ac:dyDescent="0.3">
      <c r="A19" t="s">
        <v>206</v>
      </c>
    </row>
    <row r="20" spans="1:1" x14ac:dyDescent="0.3">
      <c r="A20" t="s">
        <v>177</v>
      </c>
    </row>
    <row r="21" spans="1:1" x14ac:dyDescent="0.3">
      <c r="A21" t="s">
        <v>1438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5163B-5C61-441E-9E02-0FF5FEFF585B}">
  <sheetPr codeName="Sheet27"/>
  <dimension ref="A1:C61"/>
  <sheetViews>
    <sheetView topLeftCell="A25" workbookViewId="0">
      <selection activeCell="F41" sqref="F41"/>
    </sheetView>
  </sheetViews>
  <sheetFormatPr defaultRowHeight="16.5" x14ac:dyDescent="0.3"/>
  <cols>
    <col min="1" max="1" width="20.75" bestFit="1" customWidth="1"/>
    <col min="2" max="2" width="23.625" customWidth="1"/>
    <col min="3" max="3" width="19.625" bestFit="1" customWidth="1"/>
  </cols>
  <sheetData>
    <row r="1" spans="1:3" x14ac:dyDescent="0.3">
      <c r="A1" t="s">
        <v>2</v>
      </c>
      <c r="B1" t="s">
        <v>273</v>
      </c>
      <c r="C1" t="s">
        <v>3139</v>
      </c>
    </row>
    <row r="2" spans="1:3" x14ac:dyDescent="0.3">
      <c r="A2" t="s">
        <v>1776</v>
      </c>
      <c r="B2" t="str">
        <f>_xlfn.XLOOKUP(AnalogueMeasureIO[[#This Row],[Tag]],IOL_QUERY[Custom],IOL_QUERY[Column3],"")</f>
        <v>MTT-00111-001_T</v>
      </c>
    </row>
    <row r="3" spans="1:3" x14ac:dyDescent="0.3">
      <c r="A3" t="s">
        <v>1780</v>
      </c>
      <c r="B3" t="str">
        <f>_xlfn.XLOOKUP(AnalogueMeasureIO[[#This Row],[Tag]],IOL_QUERY[Custom],IOL_QUERY[Column3],"")</f>
        <v>MTT-00111-001_H</v>
      </c>
    </row>
    <row r="4" spans="1:3" x14ac:dyDescent="0.3">
      <c r="A4" t="s">
        <v>1784</v>
      </c>
      <c r="B4" t="str">
        <f>_xlfn.XLOOKUP(AnalogueMeasureIO[[#This Row],[Tag]],IOL_QUERY[Custom],IOL_QUERY[Column3],"")</f>
        <v>MTT-00112-001_T</v>
      </c>
    </row>
    <row r="5" spans="1:3" x14ac:dyDescent="0.3">
      <c r="A5" t="s">
        <v>1788</v>
      </c>
      <c r="B5" t="str">
        <f>_xlfn.XLOOKUP(AnalogueMeasureIO[[#This Row],[Tag]],IOL_QUERY[Custom],IOL_QUERY[Column3],"")</f>
        <v>MTT-00112-001_H</v>
      </c>
    </row>
    <row r="6" spans="1:3" x14ac:dyDescent="0.3">
      <c r="A6" t="s">
        <v>1792</v>
      </c>
      <c r="B6" t="str">
        <f>_xlfn.XLOOKUP(AnalogueMeasureIO[[#This Row],[Tag]],IOL_QUERY[Custom],IOL_QUERY[Column3],"")</f>
        <v>TT-SU01-001</v>
      </c>
    </row>
    <row r="7" spans="1:3" x14ac:dyDescent="0.3">
      <c r="A7" t="s">
        <v>1796</v>
      </c>
      <c r="B7" t="str">
        <f>_xlfn.XLOOKUP(AnalogueMeasureIO[[#This Row],[Tag]],IOL_QUERY[Custom],IOL_QUERY[Column3],"")</f>
        <v>TT-SU01-002</v>
      </c>
    </row>
    <row r="8" spans="1:3" x14ac:dyDescent="0.3">
      <c r="A8" t="s">
        <v>1800</v>
      </c>
      <c r="B8" t="str">
        <f>_xlfn.XLOOKUP(AnalogueMeasureIO[[#This Row],[Tag]],IOL_QUERY[Custom],IOL_QUERY[Column3],"")</f>
        <v>TT-SU01-003</v>
      </c>
    </row>
    <row r="9" spans="1:3" x14ac:dyDescent="0.3">
      <c r="A9" t="s">
        <v>1804</v>
      </c>
      <c r="B9" t="str">
        <f>_xlfn.XLOOKUP(AnalogueMeasureIO[[#This Row],[Tag]],IOL_QUERY[Custom],IOL_QUERY[Column3],"")</f>
        <v>TT-SU01B-001</v>
      </c>
    </row>
    <row r="10" spans="1:3" x14ac:dyDescent="0.3">
      <c r="A10" t="s">
        <v>1808</v>
      </c>
      <c r="B10" t="str">
        <f>_xlfn.XLOOKUP(AnalogueMeasureIO[[#This Row],[Tag]],IOL_QUERY[Custom],IOL_QUERY[Column3],"")</f>
        <v>TT-SU01B-002</v>
      </c>
    </row>
    <row r="11" spans="1:3" x14ac:dyDescent="0.3">
      <c r="A11" t="s">
        <v>1812</v>
      </c>
      <c r="B11" t="str">
        <f>_xlfn.XLOOKUP(AnalogueMeasureIO[[#This Row],[Tag]],IOL_QUERY[Custom],IOL_QUERY[Column3],"")</f>
        <v>TT-00103-001</v>
      </c>
    </row>
    <row r="12" spans="1:3" x14ac:dyDescent="0.3">
      <c r="A12" t="s">
        <v>1816</v>
      </c>
      <c r="B12" t="str">
        <f>_xlfn.XLOOKUP(AnalogueMeasureIO[[#This Row],[Tag]],IOL_QUERY[Custom],IOL_QUERY[Column3],"")</f>
        <v>TT-00104-001</v>
      </c>
    </row>
    <row r="13" spans="1:3" x14ac:dyDescent="0.3">
      <c r="A13" t="s">
        <v>1820</v>
      </c>
      <c r="B13" t="str">
        <f>_xlfn.XLOOKUP(AnalogueMeasureIO[[#This Row],[Tag]],IOL_QUERY[Custom],IOL_QUERY[Column3],"")</f>
        <v>TT-00106-001</v>
      </c>
    </row>
    <row r="14" spans="1:3" x14ac:dyDescent="0.3">
      <c r="A14" t="s">
        <v>1824</v>
      </c>
      <c r="B14" t="str">
        <f>_xlfn.XLOOKUP(AnalogueMeasureIO[[#This Row],[Tag]],IOL_QUERY[Custom],IOL_QUERY[Column3],"")</f>
        <v>TT-00106-002</v>
      </c>
    </row>
    <row r="15" spans="1:3" x14ac:dyDescent="0.3">
      <c r="A15" t="s">
        <v>1828</v>
      </c>
      <c r="B15" t="str">
        <f>_xlfn.XLOOKUP(AnalogueMeasureIO[[#This Row],[Tag]],IOL_QUERY[Custom],IOL_QUERY[Column3],"")</f>
        <v>TT-00107-001</v>
      </c>
    </row>
    <row r="16" spans="1:3" x14ac:dyDescent="0.3">
      <c r="A16" t="s">
        <v>1832</v>
      </c>
      <c r="B16" t="str">
        <f>_xlfn.XLOOKUP(AnalogueMeasureIO[[#This Row],[Tag]],IOL_QUERY[Custom],IOL_QUERY[Column3],"")</f>
        <v>TT-00107-002</v>
      </c>
    </row>
    <row r="17" spans="1:2" x14ac:dyDescent="0.3">
      <c r="A17" t="s">
        <v>1836</v>
      </c>
      <c r="B17" t="str">
        <f>_xlfn.XLOOKUP(AnalogueMeasureIO[[#This Row],[Tag]],IOL_QUERY[Custom],IOL_QUERY[Column3],"")</f>
        <v>TT-00108-001</v>
      </c>
    </row>
    <row r="18" spans="1:2" x14ac:dyDescent="0.3">
      <c r="A18" t="s">
        <v>1840</v>
      </c>
      <c r="B18" t="str">
        <f>_xlfn.XLOOKUP(AnalogueMeasureIO[[#This Row],[Tag]],IOL_QUERY[Custom],IOL_QUERY[Column3],"")</f>
        <v>TT-00108-002</v>
      </c>
    </row>
    <row r="19" spans="1:2" x14ac:dyDescent="0.3">
      <c r="A19" t="s">
        <v>1844</v>
      </c>
      <c r="B19" t="str">
        <f>_xlfn.XLOOKUP(AnalogueMeasureIO[[#This Row],[Tag]],IOL_QUERY[Custom],IOL_QUERY[Column3],"")</f>
        <v>TT-00109-001</v>
      </c>
    </row>
    <row r="20" spans="1:2" x14ac:dyDescent="0.3">
      <c r="A20" t="s">
        <v>1848</v>
      </c>
      <c r="B20" t="str">
        <f>_xlfn.XLOOKUP(AnalogueMeasureIO[[#This Row],[Tag]],IOL_QUERY[Custom],IOL_QUERY[Column3],"")</f>
        <v>TT-00109-002</v>
      </c>
    </row>
    <row r="21" spans="1:2" x14ac:dyDescent="0.3">
      <c r="A21" t="s">
        <v>1852</v>
      </c>
      <c r="B21" t="str">
        <f>_xlfn.XLOOKUP(AnalogueMeasureIO[[#This Row],[Tag]],IOL_QUERY[Custom],IOL_QUERY[Column3],"")</f>
        <v>TT-00110-001</v>
      </c>
    </row>
    <row r="22" spans="1:2" x14ac:dyDescent="0.3">
      <c r="A22" t="s">
        <v>1856</v>
      </c>
      <c r="B22" t="str">
        <f>_xlfn.XLOOKUP(AnalogueMeasureIO[[#This Row],[Tag]],IOL_QUERY[Custom],IOL_QUERY[Column3],"")</f>
        <v>TT-00110-002</v>
      </c>
    </row>
    <row r="23" spans="1:2" x14ac:dyDescent="0.3">
      <c r="A23" t="s">
        <v>1860</v>
      </c>
      <c r="B23" t="str">
        <f>_xlfn.XLOOKUP(AnalogueMeasureIO[[#This Row],[Tag]],IOL_QUERY[Custom],IOL_QUERY[Column3],"")</f>
        <v>TT-00111-001</v>
      </c>
    </row>
    <row r="24" spans="1:2" x14ac:dyDescent="0.3">
      <c r="A24" t="s">
        <v>1864</v>
      </c>
      <c r="B24" t="str">
        <f>_xlfn.XLOOKUP(AnalogueMeasureIO[[#This Row],[Tag]],IOL_QUERY[Custom],IOL_QUERY[Column3],"")</f>
        <v>TT-00115-001</v>
      </c>
    </row>
    <row r="25" spans="1:2" x14ac:dyDescent="0.3">
      <c r="A25" t="s">
        <v>1868</v>
      </c>
      <c r="B25" t="str">
        <f>_xlfn.XLOOKUP(AnalogueMeasureIO[[#This Row],[Tag]],IOL_QUERY[Custom],IOL_QUERY[Column3],"")</f>
        <v>PT-SF1-SU01-001</v>
      </c>
    </row>
    <row r="26" spans="1:2" x14ac:dyDescent="0.3">
      <c r="A26" t="s">
        <v>1872</v>
      </c>
      <c r="B26" t="str">
        <f>_xlfn.XLOOKUP(AnalogueMeasureIO[[#This Row],[Tag]],IOL_QUERY[Custom],IOL_QUERY[Column3],"")</f>
        <v>PT-SF2-SU01-001</v>
      </c>
    </row>
    <row r="27" spans="1:2" x14ac:dyDescent="0.3">
      <c r="A27" t="s">
        <v>1876</v>
      </c>
      <c r="B27" t="str">
        <f>_xlfn.XLOOKUP(AnalogueMeasureIO[[#This Row],[Tag]],IOL_QUERY[Custom],IOL_QUERY[Column3],"")</f>
        <v>PT-SU01-001</v>
      </c>
    </row>
    <row r="28" spans="1:2" x14ac:dyDescent="0.3">
      <c r="A28" t="s">
        <v>1880</v>
      </c>
      <c r="B28" t="str">
        <f>_xlfn.XLOOKUP(AnalogueMeasureIO[[#This Row],[Tag]],IOL_QUERY[Custom],IOL_QUERY[Column3],"")</f>
        <v>PT-SU01-002</v>
      </c>
    </row>
    <row r="29" spans="1:2" x14ac:dyDescent="0.3">
      <c r="A29" t="s">
        <v>1884</v>
      </c>
      <c r="B29" t="str">
        <f>_xlfn.XLOOKUP(AnalogueMeasureIO[[#This Row],[Tag]],IOL_QUERY[Custom],IOL_QUERY[Column3],"")</f>
        <v>PT-EF1-SU01-001</v>
      </c>
    </row>
    <row r="30" spans="1:2" x14ac:dyDescent="0.3">
      <c r="A30" t="s">
        <v>1888</v>
      </c>
      <c r="B30" t="str">
        <f>_xlfn.XLOOKUP(AnalogueMeasureIO[[#This Row],[Tag]],IOL_QUERY[Custom],IOL_QUERY[Column3],"")</f>
        <v>PT-EF2-SU01-001</v>
      </c>
    </row>
    <row r="31" spans="1:2" x14ac:dyDescent="0.3">
      <c r="A31" t="s">
        <v>1892</v>
      </c>
      <c r="B31" t="str">
        <f>_xlfn.XLOOKUP(AnalogueMeasureIO[[#This Row],[Tag]],IOL_QUERY[Custom],IOL_QUERY[Column3],"")</f>
        <v>PT-SF1-SU01B-001</v>
      </c>
    </row>
    <row r="32" spans="1:2" x14ac:dyDescent="0.3">
      <c r="A32" t="s">
        <v>1896</v>
      </c>
      <c r="B32" t="str">
        <f>_xlfn.XLOOKUP(AnalogueMeasureIO[[#This Row],[Tag]],IOL_QUERY[Custom],IOL_QUERY[Column3],"")</f>
        <v>PT-SU01B-001</v>
      </c>
    </row>
    <row r="33" spans="1:2" x14ac:dyDescent="0.3">
      <c r="A33" t="s">
        <v>1900</v>
      </c>
      <c r="B33" t="str">
        <f>_xlfn.XLOOKUP(AnalogueMeasureIO[[#This Row],[Tag]],IOL_QUERY[Custom],IOL_QUERY[Column3],"")</f>
        <v>PT-SU01B-002</v>
      </c>
    </row>
    <row r="34" spans="1:2" x14ac:dyDescent="0.3">
      <c r="A34" t="s">
        <v>1904</v>
      </c>
      <c r="B34" t="str">
        <f>_xlfn.XLOOKUP(AnalogueMeasureIO[[#This Row],[Tag]],IOL_QUERY[Custom],IOL_QUERY[Column3],"")</f>
        <v>PT-EF1-SU01B-001</v>
      </c>
    </row>
    <row r="35" spans="1:2" x14ac:dyDescent="0.3">
      <c r="A35" t="s">
        <v>1908</v>
      </c>
      <c r="B35" t="str">
        <f>_xlfn.XLOOKUP(AnalogueMeasureIO[[#This Row],[Tag]],IOL_QUERY[Custom],IOL_QUERY[Column3],"")</f>
        <v>PT-F2-SU01-001</v>
      </c>
    </row>
    <row r="36" spans="1:2" x14ac:dyDescent="0.3">
      <c r="A36" t="s">
        <v>1912</v>
      </c>
      <c r="B36" t="str">
        <f>_xlfn.XLOOKUP(AnalogueMeasureIO[[#This Row],[Tag]],IOL_QUERY[Custom],IOL_QUERY[Column3],"")</f>
        <v>PT-F2-SU01B-001</v>
      </c>
    </row>
    <row r="37" spans="1:2" x14ac:dyDescent="0.3">
      <c r="A37" t="s">
        <v>1916</v>
      </c>
      <c r="B37" t="str">
        <f>_xlfn.XLOOKUP(AnalogueMeasureIO[[#This Row],[Tag]],IOL_QUERY[Custom],IOL_QUERY[Column3],"")</f>
        <v>PT-FU-00103</v>
      </c>
    </row>
    <row r="38" spans="1:2" x14ac:dyDescent="0.3">
      <c r="A38" t="s">
        <v>1920</v>
      </c>
      <c r="B38" t="str">
        <f>_xlfn.XLOOKUP(AnalogueMeasureIO[[#This Row],[Tag]],IOL_QUERY[Custom],IOL_QUERY[Column3],"")</f>
        <v>PT-FU-00104</v>
      </c>
    </row>
    <row r="39" spans="1:2" x14ac:dyDescent="0.3">
      <c r="A39" t="s">
        <v>1924</v>
      </c>
      <c r="B39" t="str">
        <f>_xlfn.XLOOKUP(AnalogueMeasureIO[[#This Row],[Tag]],IOL_QUERY[Custom],IOL_QUERY[Column3],"")</f>
        <v>PT-FU-00115</v>
      </c>
    </row>
    <row r="40" spans="1:2" x14ac:dyDescent="0.3">
      <c r="A40" t="s">
        <v>1928</v>
      </c>
      <c r="B40" t="str">
        <f>_xlfn.XLOOKUP(AnalogueMeasureIO[[#This Row],[Tag]],IOL_QUERY[Custom],IOL_QUERY[Column3],"")</f>
        <v>PDT-00101-001</v>
      </c>
    </row>
    <row r="41" spans="1:2" x14ac:dyDescent="0.3">
      <c r="A41" t="s">
        <v>1932</v>
      </c>
      <c r="B41" t="str">
        <f>_xlfn.XLOOKUP(AnalogueMeasureIO[[#This Row],[Tag]],IOL_QUERY[Custom],IOL_QUERY[Column3],"")</f>
        <v>PDT-00102-001</v>
      </c>
    </row>
    <row r="42" spans="1:2" x14ac:dyDescent="0.3">
      <c r="A42" t="s">
        <v>1936</v>
      </c>
      <c r="B42" t="str">
        <f>_xlfn.XLOOKUP(AnalogueMeasureIO[[#This Row],[Tag]],IOL_QUERY[Custom],IOL_QUERY[Column3],"")</f>
        <v>PDT-00103-001</v>
      </c>
    </row>
    <row r="43" spans="1:2" x14ac:dyDescent="0.3">
      <c r="A43" t="s">
        <v>1940</v>
      </c>
      <c r="B43" t="str">
        <f>_xlfn.XLOOKUP(AnalogueMeasureIO[[#This Row],[Tag]],IOL_QUERY[Custom],IOL_QUERY[Column3],"")</f>
        <v>PDT-00104-001</v>
      </c>
    </row>
    <row r="44" spans="1:2" x14ac:dyDescent="0.3">
      <c r="A44" t="s">
        <v>1944</v>
      </c>
      <c r="B44" t="str">
        <f>_xlfn.XLOOKUP(AnalogueMeasureIO[[#This Row],[Tag]],IOL_QUERY[Custom],IOL_QUERY[Column3],"")</f>
        <v>PDT-00105-001</v>
      </c>
    </row>
    <row r="45" spans="1:2" x14ac:dyDescent="0.3">
      <c r="A45" t="s">
        <v>1948</v>
      </c>
      <c r="B45" t="str">
        <f>_xlfn.XLOOKUP(AnalogueMeasureIO[[#This Row],[Tag]],IOL_QUERY[Custom],IOL_QUERY[Column3],"")</f>
        <v>PDT-00106-001</v>
      </c>
    </row>
    <row r="46" spans="1:2" x14ac:dyDescent="0.3">
      <c r="A46" t="s">
        <v>1952</v>
      </c>
      <c r="B46" t="str">
        <f>_xlfn.XLOOKUP(AnalogueMeasureIO[[#This Row],[Tag]],IOL_QUERY[Custom],IOL_QUERY[Column3],"")</f>
        <v>PT-00106-001</v>
      </c>
    </row>
    <row r="47" spans="1:2" x14ac:dyDescent="0.3">
      <c r="A47" t="s">
        <v>1956</v>
      </c>
      <c r="B47" t="str">
        <f>_xlfn.XLOOKUP(AnalogueMeasureIO[[#This Row],[Tag]],IOL_QUERY[Custom],IOL_QUERY[Column3],"")</f>
        <v>PDT-00111-001</v>
      </c>
    </row>
    <row r="48" spans="1:2" x14ac:dyDescent="0.3">
      <c r="A48" t="s">
        <v>1960</v>
      </c>
      <c r="B48" t="str">
        <f>_xlfn.XLOOKUP(AnalogueMeasureIO[[#This Row],[Tag]],IOL_QUERY[Custom],IOL_QUERY[Column3],"")</f>
        <v>PDT-00112-001</v>
      </c>
    </row>
    <row r="49" spans="1:3" x14ac:dyDescent="0.3">
      <c r="A49" t="s">
        <v>1964</v>
      </c>
      <c r="B49" t="str">
        <f>_xlfn.XLOOKUP(AnalogueMeasureIO[[#This Row],[Tag]],IOL_QUERY[Custom],IOL_QUERY[Column3],"")</f>
        <v>PDT-00113-001</v>
      </c>
    </row>
    <row r="50" spans="1:3" x14ac:dyDescent="0.3">
      <c r="A50" t="s">
        <v>1968</v>
      </c>
      <c r="B50" t="str">
        <f>_xlfn.XLOOKUP(AnalogueMeasureIO[[#This Row],[Tag]],IOL_QUERY[Custom],IOL_QUERY[Column3],"")</f>
        <v>PDT-00114-001</v>
      </c>
    </row>
    <row r="51" spans="1:3" x14ac:dyDescent="0.3">
      <c r="A51" t="s">
        <v>1972</v>
      </c>
      <c r="B51" t="str">
        <f>_xlfn.XLOOKUP(AnalogueMeasureIO[[#This Row],[Tag]],IOL_QUERY[Custom],IOL_QUERY[Column3],"")</f>
        <v>PDT-00115-001</v>
      </c>
    </row>
    <row r="52" spans="1:3" x14ac:dyDescent="0.3">
      <c r="A52" t="s">
        <v>1976</v>
      </c>
      <c r="B52" t="str">
        <f>_xlfn.XLOOKUP(AnalogueMeasureIO[[#This Row],[Tag]],IOL_QUERY[Custom],IOL_QUERY[Column3],"")</f>
        <v>PDT-00116-001</v>
      </c>
    </row>
    <row r="53" spans="1:3" x14ac:dyDescent="0.3">
      <c r="A53" t="s">
        <v>1980</v>
      </c>
      <c r="B53" t="str">
        <f>_xlfn.XLOOKUP(AnalogueMeasureIO[[#This Row],[Tag]],IOL_QUERY[Custom],IOL_QUERY[Column3],"")</f>
        <v/>
      </c>
      <c r="C53" t="str">
        <f>SUBSTITUTE(FLOW_NOZZLE,"$TAG$",LEFT(AnalogueMeasureIO[[#This Row],[Tag]],LEN(AnalogueMeasureIO[[#This Row],[Tag]])-2))</f>
        <v>"DpToFlowNozzle"(pressure:=#Unit.#PT_SF1_SU01_001.processValue, flowFactor:="HVAC_PLC_Parameters".K_Factor.PT_SF1_SU01_001)</v>
      </c>
    </row>
    <row r="54" spans="1:3" x14ac:dyDescent="0.3">
      <c r="A54" t="s">
        <v>1984</v>
      </c>
      <c r="B54" t="str">
        <f>_xlfn.XLOOKUP(AnalogueMeasureIO[[#This Row],[Tag]],IOL_QUERY[Custom],IOL_QUERY[Column3],"")</f>
        <v/>
      </c>
      <c r="C54" t="str">
        <f>SUBSTITUTE(FLOW_NOZZLE,"$TAG$",LEFT(AnalogueMeasureIO[[#This Row],[Tag]],LEN(AnalogueMeasureIO[[#This Row],[Tag]])-2))</f>
        <v>"DpToFlowNozzle"(pressure:=#Unit.#PT_SF2_SU01_001.processValue, flowFactor:="HVAC_PLC_Parameters".K_Factor.PT_SF2_SU01_001)</v>
      </c>
    </row>
    <row r="55" spans="1:3" x14ac:dyDescent="0.3">
      <c r="A55" t="s">
        <v>1988</v>
      </c>
      <c r="B55" t="str">
        <f>_xlfn.XLOOKUP(AnalogueMeasureIO[[#This Row],[Tag]],IOL_QUERY[Custom],IOL_QUERY[Column3],"")</f>
        <v/>
      </c>
      <c r="C55" t="str">
        <f>SUBSTITUTE(FLOW_NOZZLE,"$TAG$",LEFT(AnalogueMeasureIO[[#This Row],[Tag]],LEN(AnalogueMeasureIO[[#This Row],[Tag]])-2))</f>
        <v>"DpToFlowNozzle"(pressure:=#Unit.#PT_EF1_SU01_001.processValue, flowFactor:="HVAC_PLC_Parameters".K_Factor.PT_EF1_SU01_001)</v>
      </c>
    </row>
    <row r="56" spans="1:3" x14ac:dyDescent="0.3">
      <c r="A56" t="s">
        <v>1992</v>
      </c>
      <c r="B56" t="str">
        <f>_xlfn.XLOOKUP(AnalogueMeasureIO[[#This Row],[Tag]],IOL_QUERY[Custom],IOL_QUERY[Column3],"")</f>
        <v/>
      </c>
      <c r="C56" t="str">
        <f>SUBSTITUTE(FLOW_NOZZLE,"$TAG$",LEFT(AnalogueMeasureIO[[#This Row],[Tag]],LEN(AnalogueMeasureIO[[#This Row],[Tag]])-2))</f>
        <v>"DpToFlowNozzle"(pressure:=#Unit.#PT_EF2_SU01_001.processValue, flowFactor:="HVAC_PLC_Parameters".K_Factor.PT_EF2_SU01_001)</v>
      </c>
    </row>
    <row r="57" spans="1:3" x14ac:dyDescent="0.3">
      <c r="A57" t="s">
        <v>1996</v>
      </c>
      <c r="B57" t="str">
        <f>_xlfn.XLOOKUP(AnalogueMeasureIO[[#This Row],[Tag]],IOL_QUERY[Custom],IOL_QUERY[Column3],"")</f>
        <v/>
      </c>
      <c r="C57" t="str">
        <f>SUBSTITUTE(FLOW_NOZZLE,"$TAG$",LEFT(AnalogueMeasureIO[[#This Row],[Tag]],LEN(AnalogueMeasureIO[[#This Row],[Tag]])-2))</f>
        <v>"DpToFlowNozzle"(pressure:=#Unit.#PT_SF1_SU01B_001.processValue, flowFactor:="HVAC_PLC_Parameters".K_Factor.PT_SF1_SU01B_001)</v>
      </c>
    </row>
    <row r="58" spans="1:3" x14ac:dyDescent="0.3">
      <c r="A58" t="s">
        <v>2000</v>
      </c>
      <c r="B58" t="str">
        <f>_xlfn.XLOOKUP(AnalogueMeasureIO[[#This Row],[Tag]],IOL_QUERY[Custom],IOL_QUERY[Column3],"")</f>
        <v/>
      </c>
      <c r="C58" t="str">
        <f>SUBSTITUTE(FLOW_NOZZLE,"$TAG$",LEFT(AnalogueMeasureIO[[#This Row],[Tag]],LEN(AnalogueMeasureIO[[#This Row],[Tag]])-2))</f>
        <v>"DpToFlowNozzle"(pressure:=#Unit.#PT_EF1_SU01B_001.processValue, flowFactor:="HVAC_PLC_Parameters".K_Factor.PT_EF1_SU01B_001)</v>
      </c>
    </row>
    <row r="59" spans="1:3" x14ac:dyDescent="0.3">
      <c r="A59" t="s">
        <v>2004</v>
      </c>
      <c r="B59" t="str">
        <f>_xlfn.XLOOKUP(AnalogueMeasureIO[[#This Row],[Tag]],IOL_QUERY[Custom],IOL_QUERY[Column3],"")</f>
        <v/>
      </c>
      <c r="C59" t="str">
        <f>SUBSTITUTE(FLOW_NOZZLE,"$TAG$",LEFT(AnalogueMeasureIO[[#This Row],[Tag]],LEN(AnalogueMeasureIO[[#This Row],[Tag]])-2))</f>
        <v>"DpToFlowNozzle"(pressure:=#Unit.#PT_FU_00103.processValue, flowFactor:="HVAC_PLC_Parameters".K_Factor.PT_FU_00103)</v>
      </c>
    </row>
    <row r="60" spans="1:3" x14ac:dyDescent="0.3">
      <c r="A60" t="s">
        <v>2008</v>
      </c>
      <c r="B60" t="str">
        <f>_xlfn.XLOOKUP(AnalogueMeasureIO[[#This Row],[Tag]],IOL_QUERY[Custom],IOL_QUERY[Column3],"")</f>
        <v/>
      </c>
      <c r="C60" t="str">
        <f>SUBSTITUTE(FLOW_NOZZLE,"$TAG$",LEFT(AnalogueMeasureIO[[#This Row],[Tag]],LEN(AnalogueMeasureIO[[#This Row],[Tag]])-2))</f>
        <v>"DpToFlowNozzle"(pressure:=#Unit.#PT_FU_00104.processValue, flowFactor:="HVAC_PLC_Parameters".K_Factor.PT_FU_00104)</v>
      </c>
    </row>
    <row r="61" spans="1:3" x14ac:dyDescent="0.3">
      <c r="A61" t="s">
        <v>2012</v>
      </c>
      <c r="B61" t="str">
        <f>_xlfn.XLOOKUP(AnalogueMeasureIO[[#This Row],[Tag]],IOL_QUERY[Custom],IOL_QUERY[Column3],"")</f>
        <v/>
      </c>
      <c r="C61" t="str">
        <f>SUBSTITUTE(FLOW_NOZZLE,"$TAG$",LEFT(AnalogueMeasureIO[[#This Row],[Tag]],LEN(AnalogueMeasureIO[[#This Row],[Tag]])-2))</f>
        <v>"DpToFlowNozzle"(pressure:=#Unit.#PT_FU_00115.processValue, flowFactor:="HVAC_PLC_Parameters".K_Factor.PT_FU_00115)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F556-11EE-4AEC-B45B-7FDEDEFDE8D0}">
  <sheetPr codeName="Sheet23"/>
  <dimension ref="A1:L10"/>
  <sheetViews>
    <sheetView workbookViewId="0">
      <selection activeCell="D17" sqref="D17"/>
    </sheetView>
  </sheetViews>
  <sheetFormatPr defaultRowHeight="16.5" x14ac:dyDescent="0.3"/>
  <cols>
    <col min="1" max="1" width="19.5" bestFit="1" customWidth="1"/>
    <col min="2" max="2" width="29.75" customWidth="1"/>
    <col min="3" max="3" width="25.875" bestFit="1" customWidth="1"/>
    <col min="4" max="4" width="18.125" bestFit="1" customWidth="1"/>
    <col min="5" max="5" width="59.875" bestFit="1" customWidth="1"/>
    <col min="6" max="6" width="38.625" customWidth="1"/>
    <col min="7" max="7" width="25.75" bestFit="1" customWidth="1"/>
    <col min="8" max="8" width="14.75" bestFit="1" customWidth="1"/>
    <col min="9" max="9" width="46.5" bestFit="1" customWidth="1"/>
    <col min="10" max="10" width="62" customWidth="1"/>
    <col min="11" max="11" width="55.375" customWidth="1"/>
  </cols>
  <sheetData>
    <row r="1" spans="1:12" x14ac:dyDescent="0.3">
      <c r="A1" t="s">
        <v>2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418</v>
      </c>
      <c r="H1" t="s">
        <v>15</v>
      </c>
      <c r="I1" t="s">
        <v>419</v>
      </c>
      <c r="J1" t="s">
        <v>8</v>
      </c>
      <c r="K1" t="s">
        <v>3136</v>
      </c>
      <c r="L1" t="s">
        <v>9</v>
      </c>
    </row>
    <row r="2" spans="1:12" x14ac:dyDescent="0.3">
      <c r="A2" t="s">
        <v>2256</v>
      </c>
      <c r="B2" t="str">
        <f>_xlfn.XLOOKUP(MotorModIO[[#This Row],[Tag]] &amp; "*" &amp; "SUPPLY",IOL_QUERY[Custom],IOL_QUERY[Column3],"",2)</f>
        <v>VFD-SF1-SU01-001_SUPPLY</v>
      </c>
      <c r="C2" t="str">
        <f>_xlfn.XLOOKUP(MotorModIO[[#This Row],[Tag]] &amp; "*" &amp; "SERVICE",IOL_QUERY[Custom],IOL_QUERY[Column3],"",2)</f>
        <v>VFD-SF1-SU01-001_SERVICE</v>
      </c>
      <c r="D2" t="str">
        <f>SUBSTITUTE(ECBLUE_TEMP,"$TAG$",MotorModIO[[#This Row],[Tag]])</f>
        <v>"ModbusStations".VFD_SF1_SU01_001.Data.Error."Temperature error"</v>
      </c>
      <c r="E2" t="str">
        <f>SUBSTITUTE(COMM_ERROR,"$TAG$",MotorModIO[[#This Row],[Tag]])</f>
        <v>"ModbusStations".VFD_SF1_SU01_001.Station.Status.ErrorComm</v>
      </c>
      <c r="F2" t="str">
        <f>"NOT " &amp; SUBSTITUTE(ECBLUE_RUN,"$TAG$",MotorModIO[[#This Row],[Tag]])</f>
        <v>NOT "ModbusStations".VFD_SF1_SU01_001.Data.Status.Stop</v>
      </c>
      <c r="G2" t="str">
        <f>SUBSTITUTE(ECBLUE_ERROR,"$TAG$",MotorModIO[[#This Row],[Tag]])</f>
        <v>"StatnECBLUE_ErrorSignal"("ModbusStations"."VFD_SF1_SU01_001".Data.Error)</v>
      </c>
      <c r="I2" t="str">
        <f>SUBSTITUTE(ECBLUE_SPEED,"$TAG$",MotorModIO[[#This Row],[Tag]])</f>
        <v>"ModbusStations".VFD_SF1_SU01_001.Data.Speed</v>
      </c>
      <c r="J2" t="str">
        <f>SUBSTITUTE(ECBLUE_START,"$TAG$",MotorModIO[[#This Row],[Tag]])</f>
        <v>"ModbusStations".VFD_SF1_SU01_001.Data.ControlWord.Enable</v>
      </c>
      <c r="K2" t="str">
        <f>SUBSTITUTE(ECBLUE_REFERENCE,"$TAG$",MotorModIO[[#This Row],[Tag]])</f>
        <v>"ModbusStations".VFD_SF1_SU01_001.Data.Reference</v>
      </c>
    </row>
    <row r="3" spans="1:12" x14ac:dyDescent="0.3">
      <c r="A3" t="s">
        <v>2260</v>
      </c>
      <c r="B3" t="str">
        <f>_xlfn.XLOOKUP(MotorModIO[[#This Row],[Tag]] &amp; "*" &amp; "SUPPLY",IOL_QUERY[Custom],IOL_QUERY[Column3],"",2)</f>
        <v>VFD-SF2-SU01-001_SUPPLY</v>
      </c>
      <c r="C3" t="str">
        <f>_xlfn.XLOOKUP(MotorModIO[[#This Row],[Tag]] &amp; "*" &amp; "SERVICE",IOL_QUERY[Custom],IOL_QUERY[Column3],"",2)</f>
        <v>VFD-SF2-SU01-001_SERVICE</v>
      </c>
      <c r="D3" t="str">
        <f>SUBSTITUTE(ECBLUE_TEMP,"$TAG$",MotorModIO[[#This Row],[Tag]])</f>
        <v>"ModbusStations".VFD_SF2_SU01_001.Data.Error."Temperature error"</v>
      </c>
      <c r="E3" t="str">
        <f>SUBSTITUTE(COMM_ERROR,"$TAG$",MotorModIO[[#This Row],[Tag]])</f>
        <v>"ModbusStations".VFD_SF2_SU01_001.Station.Status.ErrorComm</v>
      </c>
      <c r="F3" t="str">
        <f>"NOT " &amp; SUBSTITUTE(ECBLUE_RUN,"$TAG$",MotorModIO[[#This Row],[Tag]])</f>
        <v>NOT "ModbusStations".VFD_SF2_SU01_001.Data.Status.Stop</v>
      </c>
      <c r="G3" t="str">
        <f>SUBSTITUTE(ECBLUE_ERROR,"$TAG$",MotorModIO[[#This Row],[Tag]])</f>
        <v>"StatnECBLUE_ErrorSignal"("ModbusStations"."VFD_SF2_SU01_001".Data.Error)</v>
      </c>
      <c r="I3" t="str">
        <f>SUBSTITUTE(ECBLUE_SPEED,"$TAG$",MotorModIO[[#This Row],[Tag]])</f>
        <v>"ModbusStations".VFD_SF2_SU01_001.Data.Speed</v>
      </c>
      <c r="J3" t="str">
        <f>SUBSTITUTE(ECBLUE_START,"$TAG$",MotorModIO[[#This Row],[Tag]])</f>
        <v>"ModbusStations".VFD_SF2_SU01_001.Data.ControlWord.Enable</v>
      </c>
      <c r="K3" t="str">
        <f>SUBSTITUTE(ECBLUE_REFERENCE,"$TAG$",MotorModIO[[#This Row],[Tag]])</f>
        <v>"ModbusStations".VFD_SF2_SU01_001.Data.Reference</v>
      </c>
    </row>
    <row r="4" spans="1:12" x14ac:dyDescent="0.3">
      <c r="A4" t="s">
        <v>2264</v>
      </c>
      <c r="B4" t="str">
        <f>_xlfn.XLOOKUP(MotorModIO[[#This Row],[Tag]] &amp; "*" &amp; "SUPPLY",IOL_QUERY[Custom],IOL_QUERY[Column3],"",2)</f>
        <v>VFD-EF1-SU01-001_SUPPLY</v>
      </c>
      <c r="C4" t="str">
        <f>_xlfn.XLOOKUP(MotorModIO[[#This Row],[Tag]] &amp; "*" &amp; "SERVICE",IOL_QUERY[Custom],IOL_QUERY[Column3],"",2)</f>
        <v>VFD-EF1-SU01-001_SERVICE</v>
      </c>
      <c r="D4" t="str">
        <f>SUBSTITUTE(ECBLUE_TEMP,"$TAG$",MotorModIO[[#This Row],[Tag]])</f>
        <v>"ModbusStations".VFD_EF1_SU01_001.Data.Error."Temperature error"</v>
      </c>
      <c r="E4" t="str">
        <f>SUBSTITUTE(COMM_ERROR,"$TAG$",MotorModIO[[#This Row],[Tag]])</f>
        <v>"ModbusStations".VFD_EF1_SU01_001.Station.Status.ErrorComm</v>
      </c>
      <c r="F4" t="str">
        <f>"NOT " &amp; SUBSTITUTE(ECBLUE_RUN,"$TAG$",MotorModIO[[#This Row],[Tag]])</f>
        <v>NOT "ModbusStations".VFD_EF1_SU01_001.Data.Status.Stop</v>
      </c>
      <c r="G4" t="str">
        <f>SUBSTITUTE(ECBLUE_ERROR,"$TAG$",MotorModIO[[#This Row],[Tag]])</f>
        <v>"StatnECBLUE_ErrorSignal"("ModbusStations"."VFD_EF1_SU01_001".Data.Error)</v>
      </c>
      <c r="I4" t="str">
        <f>SUBSTITUTE(ECBLUE_SPEED,"$TAG$",MotorModIO[[#This Row],[Tag]])</f>
        <v>"ModbusStations".VFD_EF1_SU01_001.Data.Speed</v>
      </c>
      <c r="J4" t="str">
        <f>SUBSTITUTE(ECBLUE_START,"$TAG$",MotorModIO[[#This Row],[Tag]])</f>
        <v>"ModbusStations".VFD_EF1_SU01_001.Data.ControlWord.Enable</v>
      </c>
      <c r="K4" t="str">
        <f>SUBSTITUTE(ECBLUE_REFERENCE,"$TAG$",MotorModIO[[#This Row],[Tag]])</f>
        <v>"ModbusStations".VFD_EF1_SU01_001.Data.Reference</v>
      </c>
    </row>
    <row r="5" spans="1:12" x14ac:dyDescent="0.3">
      <c r="A5" t="s">
        <v>2268</v>
      </c>
      <c r="B5" t="str">
        <f>_xlfn.XLOOKUP(MotorModIO[[#This Row],[Tag]] &amp; "*" &amp; "SUPPLY",IOL_QUERY[Custom],IOL_QUERY[Column3],"",2)</f>
        <v>VFD-EF2-SU01-001_SUPPLY</v>
      </c>
      <c r="C5" t="str">
        <f>_xlfn.XLOOKUP(MotorModIO[[#This Row],[Tag]] &amp; "*" &amp; "SERVICE",IOL_QUERY[Custom],IOL_QUERY[Column3],"",2)</f>
        <v>VFD-EF2-SU01-001_SERVICE</v>
      </c>
      <c r="D5" t="str">
        <f>SUBSTITUTE(ECBLUE_TEMP,"$TAG$",MotorModIO[[#This Row],[Tag]])</f>
        <v>"ModbusStations".VFD_EF2_SU01_001.Data.Error."Temperature error"</v>
      </c>
      <c r="E5" t="str">
        <f>SUBSTITUTE(COMM_ERROR,"$TAG$",MotorModIO[[#This Row],[Tag]])</f>
        <v>"ModbusStations".VFD_EF2_SU01_001.Station.Status.ErrorComm</v>
      </c>
      <c r="F5" t="str">
        <f>"NOT " &amp; SUBSTITUTE(ECBLUE_RUN,"$TAG$",MotorModIO[[#This Row],[Tag]])</f>
        <v>NOT "ModbusStations".VFD_EF2_SU01_001.Data.Status.Stop</v>
      </c>
      <c r="G5" t="str">
        <f>SUBSTITUTE(ECBLUE_ERROR,"$TAG$",MotorModIO[[#This Row],[Tag]])</f>
        <v>"StatnECBLUE_ErrorSignal"("ModbusStations"."VFD_EF2_SU01_001".Data.Error)</v>
      </c>
      <c r="I5" t="str">
        <f>SUBSTITUTE(ECBLUE_SPEED,"$TAG$",MotorModIO[[#This Row],[Tag]])</f>
        <v>"ModbusStations".VFD_EF2_SU01_001.Data.Speed</v>
      </c>
      <c r="J5" t="str">
        <f>SUBSTITUTE(ECBLUE_START,"$TAG$",MotorModIO[[#This Row],[Tag]])</f>
        <v>"ModbusStations".VFD_EF2_SU01_001.Data.ControlWord.Enable</v>
      </c>
      <c r="K5" t="str">
        <f>SUBSTITUTE(ECBLUE_REFERENCE,"$TAG$",MotorModIO[[#This Row],[Tag]])</f>
        <v>"ModbusStations".VFD_EF2_SU01_001.Data.Reference</v>
      </c>
    </row>
    <row r="6" spans="1:12" x14ac:dyDescent="0.3">
      <c r="A6" t="s">
        <v>2272</v>
      </c>
      <c r="B6" t="str">
        <f>_xlfn.XLOOKUP(MotorModIO[[#This Row],[Tag]] &amp; "*" &amp; "SUPPLY",IOL_QUERY[Custom],IOL_QUERY[Column3],"",2)</f>
        <v>VFD-SF1-SU01B-001_SUPPLY</v>
      </c>
      <c r="C6" t="str">
        <f>_xlfn.XLOOKUP(MotorModIO[[#This Row],[Tag]] &amp; "*" &amp; "SERVICE",IOL_QUERY[Custom],IOL_QUERY[Column3],"",2)</f>
        <v>VFD-SF1-SU01B-001_SERVICE</v>
      </c>
      <c r="D6" t="str">
        <f>SUBSTITUTE(ECBLUE_TEMP,"$TAG$",MotorModIO[[#This Row],[Tag]])</f>
        <v>"ModbusStations".VFD_SF1_SU01B_001.Data.Error."Temperature error"</v>
      </c>
      <c r="E6" t="str">
        <f>SUBSTITUTE(COMM_ERROR,"$TAG$",MotorModIO[[#This Row],[Tag]])</f>
        <v>"ModbusStations".VFD_SF1_SU01B_001.Station.Status.ErrorComm</v>
      </c>
      <c r="F6" t="str">
        <f>"NOT " &amp; SUBSTITUTE(ECBLUE_RUN,"$TAG$",MotorModIO[[#This Row],[Tag]])</f>
        <v>NOT "ModbusStations".VFD_SF1_SU01B_001.Data.Status.Stop</v>
      </c>
      <c r="G6" t="str">
        <f>SUBSTITUTE(ECBLUE_ERROR,"$TAG$",MotorModIO[[#This Row],[Tag]])</f>
        <v>"StatnECBLUE_ErrorSignal"("ModbusStations"."VFD_SF1_SU01B_001".Data.Error)</v>
      </c>
      <c r="I6" t="str">
        <f>SUBSTITUTE(ECBLUE_SPEED,"$TAG$",MotorModIO[[#This Row],[Tag]])</f>
        <v>"ModbusStations".VFD_SF1_SU01B_001.Data.Speed</v>
      </c>
      <c r="J6" t="str">
        <f>SUBSTITUTE(ECBLUE_START,"$TAG$",MotorModIO[[#This Row],[Tag]])</f>
        <v>"ModbusStations".VFD_SF1_SU01B_001.Data.ControlWord.Enable</v>
      </c>
      <c r="K6" t="str">
        <f>SUBSTITUTE(ECBLUE_REFERENCE,"$TAG$",MotorModIO[[#This Row],[Tag]])</f>
        <v>"ModbusStations".VFD_SF1_SU01B_001.Data.Reference</v>
      </c>
    </row>
    <row r="7" spans="1:12" x14ac:dyDescent="0.3">
      <c r="A7" t="s">
        <v>2276</v>
      </c>
      <c r="B7" t="str">
        <f>_xlfn.XLOOKUP(MotorModIO[[#This Row],[Tag]] &amp; "*" &amp; "SUPPLY",IOL_QUERY[Custom],IOL_QUERY[Column3],"",2)</f>
        <v>VFD-EF1-SU01B-001_SUPPLY</v>
      </c>
      <c r="C7" t="str">
        <f>_xlfn.XLOOKUP(MotorModIO[[#This Row],[Tag]] &amp; "*" &amp; "SERVICE",IOL_QUERY[Custom],IOL_QUERY[Column3],"",2)</f>
        <v>VFD-EF1-SU01B-001_SERVICE</v>
      </c>
      <c r="D7" t="str">
        <f>SUBSTITUTE(ECBLUE_TEMP,"$TAG$",MotorModIO[[#This Row],[Tag]])</f>
        <v>"ModbusStations".VFD_EF1_SU01B_001.Data.Error."Temperature error"</v>
      </c>
      <c r="E7" t="str">
        <f>SUBSTITUTE(COMM_ERROR,"$TAG$",MotorModIO[[#This Row],[Tag]])</f>
        <v>"ModbusStations".VFD_EF1_SU01B_001.Station.Status.ErrorComm</v>
      </c>
      <c r="F7" t="str">
        <f>"NOT " &amp; SUBSTITUTE(ECBLUE_RUN,"$TAG$",MotorModIO[[#This Row],[Tag]])</f>
        <v>NOT "ModbusStations".VFD_EF1_SU01B_001.Data.Status.Stop</v>
      </c>
      <c r="G7" t="str">
        <f>SUBSTITUTE(ECBLUE_ERROR,"$TAG$",MotorModIO[[#This Row],[Tag]])</f>
        <v>"StatnECBLUE_ErrorSignal"("ModbusStations"."VFD_EF1_SU01B_001".Data.Error)</v>
      </c>
      <c r="I7" t="str">
        <f>SUBSTITUTE(ECBLUE_SPEED,"$TAG$",MotorModIO[[#This Row],[Tag]])</f>
        <v>"ModbusStations".VFD_EF1_SU01B_001.Data.Speed</v>
      </c>
      <c r="J7" t="str">
        <f>SUBSTITUTE(ECBLUE_START,"$TAG$",MotorModIO[[#This Row],[Tag]])</f>
        <v>"ModbusStations".VFD_EF1_SU01B_001.Data.ControlWord.Enable</v>
      </c>
      <c r="K7" t="str">
        <f>SUBSTITUTE(ECBLUE_REFERENCE,"$TAG$",MotorModIO[[#This Row],[Tag]])</f>
        <v>"ModbusStations".VFD_EF1_SU01B_001.Data.Reference</v>
      </c>
    </row>
    <row r="8" spans="1:12" x14ac:dyDescent="0.3">
      <c r="A8" t="s">
        <v>2280</v>
      </c>
      <c r="B8" t="str">
        <f>_xlfn.XLOOKUP(MotorModIO[[#This Row],[Tag]] &amp; "*" &amp; "SUPPLY",IOL_QUERY[Custom],IOL_QUERY[Column3],"",2)</f>
        <v>VFD-FU-00103_SUPPLY</v>
      </c>
      <c r="C8" t="str">
        <f>_xlfn.XLOOKUP(MotorModIO[[#This Row],[Tag]] &amp; "*" &amp; "SERVICE",IOL_QUERY[Custom],IOL_QUERY[Column3],"",2)</f>
        <v>VFD-FU-00103_SERVICE</v>
      </c>
      <c r="D8" t="str">
        <f>SUBSTITUTE(ECBLUE_TEMP,"$TAG$",MotorModIO[[#This Row],[Tag]])</f>
        <v>"ModbusStations".VFD_FU_00103.Data.Error."Temperature error"</v>
      </c>
      <c r="E8" t="str">
        <f>SUBSTITUTE(COMM_ERROR,"$TAG$",MotorModIO[[#This Row],[Tag]])</f>
        <v>"ModbusStations".VFD_FU_00103.Station.Status.ErrorComm</v>
      </c>
      <c r="F8" t="str">
        <f>"NOT " &amp; SUBSTITUTE(ECBLUE_RUN,"$TAG$",MotorModIO[[#This Row],[Tag]])</f>
        <v>NOT "ModbusStations".VFD_FU_00103.Data.Status.Stop</v>
      </c>
      <c r="G8" t="str">
        <f>SUBSTITUTE(ECBLUE_ERROR,"$TAG$",MotorModIO[[#This Row],[Tag]])</f>
        <v>"StatnECBLUE_ErrorSignal"("ModbusStations"."VFD_FU_00103".Data.Error)</v>
      </c>
      <c r="I8" t="str">
        <f>SUBSTITUTE(ECBLUE_SPEED,"$TAG$",MotorModIO[[#This Row],[Tag]])</f>
        <v>"ModbusStations".VFD_FU_00103.Data.Speed</v>
      </c>
      <c r="J8" t="str">
        <f>SUBSTITUTE(ECBLUE_START,"$TAG$",MotorModIO[[#This Row],[Tag]])</f>
        <v>"ModbusStations".VFD_FU_00103.Data.ControlWord.Enable</v>
      </c>
      <c r="K8" t="str">
        <f>SUBSTITUTE(ECBLUE_REFERENCE,"$TAG$",MotorModIO[[#This Row],[Tag]])</f>
        <v>"ModbusStations".VFD_FU_00103.Data.Reference</v>
      </c>
    </row>
    <row r="9" spans="1:12" x14ac:dyDescent="0.3">
      <c r="A9" t="s">
        <v>2284</v>
      </c>
      <c r="B9" t="str">
        <f>_xlfn.XLOOKUP(MotorModIO[[#This Row],[Tag]] &amp; "*" &amp; "SUPPLY",IOL_QUERY[Custom],IOL_QUERY[Column3],"",2)</f>
        <v>VFD-FU-00104_SUPPLY</v>
      </c>
      <c r="C9" t="str">
        <f>_xlfn.XLOOKUP(MotorModIO[[#This Row],[Tag]] &amp; "*" &amp; "SERVICE",IOL_QUERY[Custom],IOL_QUERY[Column3],"",2)</f>
        <v>VFD-FU-00104_SERVICE</v>
      </c>
      <c r="D9" t="str">
        <f>SUBSTITUTE(ECBLUE_TEMP,"$TAG$",MotorModIO[[#This Row],[Tag]])</f>
        <v>"ModbusStations".VFD_FU_00104.Data.Error."Temperature error"</v>
      </c>
      <c r="E9" t="str">
        <f>SUBSTITUTE(COMM_ERROR,"$TAG$",MotorModIO[[#This Row],[Tag]])</f>
        <v>"ModbusStations".VFD_FU_00104.Station.Status.ErrorComm</v>
      </c>
      <c r="F9" t="str">
        <f>"NOT " &amp; SUBSTITUTE(ECBLUE_RUN,"$TAG$",MotorModIO[[#This Row],[Tag]])</f>
        <v>NOT "ModbusStations".VFD_FU_00104.Data.Status.Stop</v>
      </c>
      <c r="G9" t="str">
        <f>SUBSTITUTE(ECBLUE_ERROR,"$TAG$",MotorModIO[[#This Row],[Tag]])</f>
        <v>"StatnECBLUE_ErrorSignal"("ModbusStations"."VFD_FU_00104".Data.Error)</v>
      </c>
      <c r="I9" t="str">
        <f>SUBSTITUTE(ECBLUE_SPEED,"$TAG$",MotorModIO[[#This Row],[Tag]])</f>
        <v>"ModbusStations".VFD_FU_00104.Data.Speed</v>
      </c>
      <c r="J9" t="str">
        <f>SUBSTITUTE(ECBLUE_START,"$TAG$",MotorModIO[[#This Row],[Tag]])</f>
        <v>"ModbusStations".VFD_FU_00104.Data.ControlWord.Enable</v>
      </c>
      <c r="K9" t="str">
        <f>SUBSTITUTE(ECBLUE_REFERENCE,"$TAG$",MotorModIO[[#This Row],[Tag]])</f>
        <v>"ModbusStations".VFD_FU_00104.Data.Reference</v>
      </c>
    </row>
    <row r="10" spans="1:12" x14ac:dyDescent="0.3">
      <c r="A10" t="s">
        <v>2288</v>
      </c>
      <c r="B10" t="str">
        <f>_xlfn.XLOOKUP(MotorModIO[[#This Row],[Tag]] &amp; "*" &amp; "SUPPLY",IOL_QUERY[Custom],IOL_QUERY[Column3],"",2)</f>
        <v>VFD-FU-00115_SUPPLY</v>
      </c>
      <c r="C10" t="str">
        <f>_xlfn.XLOOKUP(MotorModIO[[#This Row],[Tag]] &amp; "*" &amp; "SERVICE",IOL_QUERY[Custom],IOL_QUERY[Column3],"",2)</f>
        <v>VFD-FU-00115_SERVICE</v>
      </c>
      <c r="D10" t="str">
        <f>SUBSTITUTE(ECBLUE_TEMP,"$TAG$",MotorModIO[[#This Row],[Tag]])</f>
        <v>"ModbusStations".VFD_FU_00115.Data.Error."Temperature error"</v>
      </c>
      <c r="E10" t="str">
        <f>SUBSTITUTE(COMM_ERROR,"$TAG$",MotorModIO[[#This Row],[Tag]])</f>
        <v>"ModbusStations".VFD_FU_00115.Station.Status.ErrorComm</v>
      </c>
      <c r="F10" t="str">
        <f>"NOT " &amp; SUBSTITUTE(ECBLUE_RUN,"$TAG$",MotorModIO[[#This Row],[Tag]])</f>
        <v>NOT "ModbusStations".VFD_FU_00115.Data.Status.Stop</v>
      </c>
      <c r="G10" t="str">
        <f>SUBSTITUTE(ECBLUE_ERROR,"$TAG$",MotorModIO[[#This Row],[Tag]])</f>
        <v>"StatnECBLUE_ErrorSignal"("ModbusStations"."VFD_FU_00115".Data.Error)</v>
      </c>
      <c r="I10" t="str">
        <f>SUBSTITUTE(ECBLUE_SPEED,"$TAG$",MotorModIO[[#This Row],[Tag]])</f>
        <v>"ModbusStations".VFD_FU_00115.Data.Speed</v>
      </c>
      <c r="J10" t="str">
        <f>SUBSTITUTE(ECBLUE_START,"$TAG$",MotorModIO[[#This Row],[Tag]])</f>
        <v>"ModbusStations".VFD_FU_00115.Data.ControlWord.Enable</v>
      </c>
      <c r="K10" t="str">
        <f>SUBSTITUTE(ECBLUE_REFERENCE,"$TAG$",MotorModIO[[#This Row],[Tag]])</f>
        <v>"ModbusStations".VFD_FU_00115.Data.Reference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0FB12-9FDB-4B61-9E26-D1DC188F4D74}">
  <sheetPr codeName="Sheet28"/>
  <dimension ref="A1:I53"/>
  <sheetViews>
    <sheetView topLeftCell="A31" workbookViewId="0">
      <selection activeCell="B25" sqref="B25:I25"/>
    </sheetView>
  </sheetViews>
  <sheetFormatPr defaultRowHeight="16.5" x14ac:dyDescent="0.3"/>
  <cols>
    <col min="1" max="2" width="20.75" bestFit="1" customWidth="1"/>
    <col min="3" max="3" width="11.25" bestFit="1" customWidth="1"/>
    <col min="4" max="4" width="9.625" bestFit="1" customWidth="1"/>
    <col min="5" max="5" width="31.5" customWidth="1"/>
    <col min="6" max="6" width="33.625" customWidth="1"/>
    <col min="7" max="7" width="22.875" bestFit="1" customWidth="1"/>
    <col min="8" max="8" width="14.75" bestFit="1" customWidth="1"/>
    <col min="9" max="9" width="15.25" bestFit="1" customWidth="1"/>
  </cols>
  <sheetData>
    <row r="1" spans="1:9" x14ac:dyDescent="0.3">
      <c r="A1" t="s">
        <v>2</v>
      </c>
      <c r="B1" t="s">
        <v>10</v>
      </c>
      <c r="C1" t="s">
        <v>420</v>
      </c>
      <c r="D1" t="s">
        <v>421</v>
      </c>
      <c r="E1" t="s">
        <v>422</v>
      </c>
      <c r="F1" t="s">
        <v>419</v>
      </c>
      <c r="G1" t="s">
        <v>3140</v>
      </c>
      <c r="H1" t="s">
        <v>15</v>
      </c>
      <c r="I1" t="s">
        <v>423</v>
      </c>
    </row>
    <row r="2" spans="1:9" x14ac:dyDescent="0.3">
      <c r="A2" t="s">
        <v>2048</v>
      </c>
      <c r="C2" t="str">
        <f>SUBSTITUTE(COMM_ERROR,"$TAG$",ValveModulatingIO[[#This Row],[Tag]])</f>
        <v>"ModbusStations".CAV_SU01_001.Station.Status.ErrorComm</v>
      </c>
      <c r="D2" t="str" cm="1">
        <f t="array" ref="D2">SUBSTITUTE(COMM_OPEN,"$TAG$",ValveModulatingIO[[#This Row],[Tag]])</f>
        <v>CommDamperOpen(threshold:=#CAV_SU01_001.openThreshold, Fbk:="ModbusStations".CAV_SU01_001.Data.Fbk)</v>
      </c>
      <c r="E2" t="str">
        <f>SUBSTITUTE(COMM_CLOSED,"$TAG$",ValveModulatingIO[[#This Row],[Tag]])</f>
        <v>CommDamperClosed(threshold:=#CAV_SU01_001.closedThreshold, Fbk:="ModbusStations".CAV_SU01_001.Data.Fbk)</v>
      </c>
      <c r="F2" t="str">
        <f>SUBSTITUTE(CAV_FEEDBACK,"$TAG$",ValveModulatingIO[[#This Row],[Tag]])</f>
        <v>"ModbusStations".CAV_SU01_001.Data.Fbk.RelativeVolumetricFlow</v>
      </c>
      <c r="G2" t="str">
        <f>SUBSTITUTE(CAV_REFERENCE,"$TAG$",ValveModulatingIO[[#This Row],[Tag]])</f>
        <v>"ModbusStations".CAV_SU01_001.Data.Cmd.Setpoint</v>
      </c>
    </row>
    <row r="3" spans="1:9" x14ac:dyDescent="0.3">
      <c r="A3" t="s">
        <v>2052</v>
      </c>
      <c r="C3" t="str">
        <f>SUBSTITUTE(COMM_ERROR,"$TAG$",ValveModulatingIO[[#This Row],[Tag]])</f>
        <v>"ModbusStations".CAV_SU01_002.Station.Status.ErrorComm</v>
      </c>
      <c r="D3" t="str" cm="1">
        <f t="array" ref="D3">SUBSTITUTE(COMM_OPEN,"$TAG$",ValveModulatingIO[[#This Row],[Tag]])</f>
        <v>CommDamperOpen(threshold:=#CAV_SU01_002.openThreshold, Fbk:="ModbusStations".CAV_SU01_002.Data.Fbk)</v>
      </c>
      <c r="E3" t="str">
        <f>SUBSTITUTE(COMM_CLOSED,"$TAG$",ValveModulatingIO[[#This Row],[Tag]])</f>
        <v>CommDamperClosed(threshold:=#CAV_SU01_002.closedThreshold, Fbk:="ModbusStations".CAV_SU01_002.Data.Fbk)</v>
      </c>
      <c r="F3" t="str">
        <f>SUBSTITUTE(CAV_FEEDBACK,"$TAG$",ValveModulatingIO[[#This Row],[Tag]])</f>
        <v>"ModbusStations".CAV_SU01_002.Data.Fbk.RelativeVolumetricFlow</v>
      </c>
      <c r="G3" t="str">
        <f>SUBSTITUTE(CAV_REFERENCE,"$TAG$",ValveModulatingIO[[#This Row],[Tag]])</f>
        <v>"ModbusStations".CAV_SU01_002.Data.Cmd.Setpoint</v>
      </c>
    </row>
    <row r="4" spans="1:9" x14ac:dyDescent="0.3">
      <c r="A4" t="s">
        <v>2056</v>
      </c>
      <c r="C4" t="str">
        <f>SUBSTITUTE(COMM_ERROR,"$TAG$",ValveModulatingIO[[#This Row],[Tag]])</f>
        <v>"ModbusStations".CAV_SU01_003.Station.Status.ErrorComm</v>
      </c>
      <c r="D4" t="str" cm="1">
        <f t="array" ref="D4">SUBSTITUTE(COMM_OPEN,"$TAG$",ValveModulatingIO[[#This Row],[Tag]])</f>
        <v>CommDamperOpen(threshold:=#CAV_SU01_003.openThreshold, Fbk:="ModbusStations".CAV_SU01_003.Data.Fbk)</v>
      </c>
      <c r="E4" t="str">
        <f>SUBSTITUTE(COMM_CLOSED,"$TAG$",ValveModulatingIO[[#This Row],[Tag]])</f>
        <v>CommDamperClosed(threshold:=#CAV_SU01_003.closedThreshold, Fbk:="ModbusStations".CAV_SU01_003.Data.Fbk)</v>
      </c>
      <c r="F4" t="str">
        <f>SUBSTITUTE(CAV_FEEDBACK,"$TAG$",ValveModulatingIO[[#This Row],[Tag]])</f>
        <v>"ModbusStations".CAV_SU01_003.Data.Fbk.RelativeVolumetricFlow</v>
      </c>
      <c r="G4" t="str">
        <f>SUBSTITUTE(CAV_REFERENCE,"$TAG$",ValveModulatingIO[[#This Row],[Tag]])</f>
        <v>"ModbusStations".CAV_SU01_003.Data.Cmd.Setpoint</v>
      </c>
    </row>
    <row r="5" spans="1:9" x14ac:dyDescent="0.3">
      <c r="A5" t="s">
        <v>2060</v>
      </c>
      <c r="C5" t="str">
        <f>SUBSTITUTE(COMM_ERROR,"$TAG$",ValveModulatingIO[[#This Row],[Tag]])</f>
        <v>"ModbusStations".CAV_SU01_004.Station.Status.ErrorComm</v>
      </c>
      <c r="D5" t="str" cm="1">
        <f t="array" ref="D5">SUBSTITUTE(COMM_OPEN,"$TAG$",ValveModulatingIO[[#This Row],[Tag]])</f>
        <v>CommDamperOpen(threshold:=#CAV_SU01_004.openThreshold, Fbk:="ModbusStations".CAV_SU01_004.Data.Fbk)</v>
      </c>
      <c r="E5" t="str">
        <f>SUBSTITUTE(COMM_CLOSED,"$TAG$",ValveModulatingIO[[#This Row],[Tag]])</f>
        <v>CommDamperClosed(threshold:=#CAV_SU01_004.closedThreshold, Fbk:="ModbusStations".CAV_SU01_004.Data.Fbk)</v>
      </c>
      <c r="F5" t="str">
        <f>SUBSTITUTE(CAV_FEEDBACK,"$TAG$",ValveModulatingIO[[#This Row],[Tag]])</f>
        <v>"ModbusStations".CAV_SU01_004.Data.Fbk.RelativeVolumetricFlow</v>
      </c>
      <c r="G5" t="str">
        <f>SUBSTITUTE(CAV_REFERENCE,"$TAG$",ValveModulatingIO[[#This Row],[Tag]])</f>
        <v>"ModbusStations".CAV_SU01_004.Data.Cmd.Setpoint</v>
      </c>
    </row>
    <row r="6" spans="1:9" x14ac:dyDescent="0.3">
      <c r="A6" t="s">
        <v>2064</v>
      </c>
      <c r="C6" t="str">
        <f>SUBSTITUTE(COMM_ERROR,"$TAG$",ValveModulatingIO[[#This Row],[Tag]])</f>
        <v>"ModbusStations".CAV_SU01B_001.Station.Status.ErrorComm</v>
      </c>
      <c r="D6" t="str" cm="1">
        <f t="array" ref="D6">SUBSTITUTE(COMM_OPEN,"$TAG$",ValveModulatingIO[[#This Row],[Tag]])</f>
        <v>CommDamperOpen(threshold:=#CAV_SU01B_001.openThreshold, Fbk:="ModbusStations".CAV_SU01B_001.Data.Fbk)</v>
      </c>
      <c r="E6" t="str">
        <f>SUBSTITUTE(COMM_CLOSED,"$TAG$",ValveModulatingIO[[#This Row],[Tag]])</f>
        <v>CommDamperClosed(threshold:=#CAV_SU01B_001.closedThreshold, Fbk:="ModbusStations".CAV_SU01B_001.Data.Fbk)</v>
      </c>
      <c r="F6" t="str">
        <f>SUBSTITUTE(CAV_FEEDBACK,"$TAG$",ValveModulatingIO[[#This Row],[Tag]])</f>
        <v>"ModbusStations".CAV_SU01B_001.Data.Fbk.RelativeVolumetricFlow</v>
      </c>
      <c r="G6" t="str">
        <f>SUBSTITUTE(CAV_REFERENCE,"$TAG$",ValveModulatingIO[[#This Row],[Tag]])</f>
        <v>"ModbusStations".CAV_SU01B_001.Data.Cmd.Setpoint</v>
      </c>
    </row>
    <row r="7" spans="1:9" x14ac:dyDescent="0.3">
      <c r="A7" t="s">
        <v>2068</v>
      </c>
      <c r="C7" t="str">
        <f>SUBSTITUTE(COMM_ERROR,"$TAG$",ValveModulatingIO[[#This Row],[Tag]])</f>
        <v>"ModbusStations".CAV_SU01B_002.Station.Status.ErrorComm</v>
      </c>
      <c r="D7" t="str" cm="1">
        <f t="array" ref="D7">SUBSTITUTE(COMM_OPEN,"$TAG$",ValveModulatingIO[[#This Row],[Tag]])</f>
        <v>CommDamperOpen(threshold:=#CAV_SU01B_002.openThreshold, Fbk:="ModbusStations".CAV_SU01B_002.Data.Fbk)</v>
      </c>
      <c r="E7" t="str">
        <f>SUBSTITUTE(COMM_CLOSED,"$TAG$",ValveModulatingIO[[#This Row],[Tag]])</f>
        <v>CommDamperClosed(threshold:=#CAV_SU01B_002.closedThreshold, Fbk:="ModbusStations".CAV_SU01B_002.Data.Fbk)</v>
      </c>
      <c r="F7" t="str">
        <f>SUBSTITUTE(CAV_FEEDBACK,"$TAG$",ValveModulatingIO[[#This Row],[Tag]])</f>
        <v>"ModbusStations".CAV_SU01B_002.Data.Fbk.RelativeVolumetricFlow</v>
      </c>
      <c r="G7" t="str">
        <f>SUBSTITUTE(CAV_REFERENCE,"$TAG$",ValveModulatingIO[[#This Row],[Tag]])</f>
        <v>"ModbusStations".CAV_SU01B_002.Data.Cmd.Setpoint</v>
      </c>
    </row>
    <row r="8" spans="1:9" x14ac:dyDescent="0.3">
      <c r="A8" t="s">
        <v>2072</v>
      </c>
      <c r="C8" t="str">
        <f>SUBSTITUTE(COMM_ERROR,"$TAG$",ValveModulatingIO[[#This Row],[Tag]])</f>
        <v>"ModbusStations".CAV_SU01B_003.Station.Status.ErrorComm</v>
      </c>
      <c r="D8" t="str" cm="1">
        <f t="array" ref="D8">SUBSTITUTE(COMM_OPEN,"$TAG$",ValveModulatingIO[[#This Row],[Tag]])</f>
        <v>CommDamperOpen(threshold:=#CAV_SU01B_003.openThreshold, Fbk:="ModbusStations".CAV_SU01B_003.Data.Fbk)</v>
      </c>
      <c r="E8" t="str">
        <f>SUBSTITUTE(COMM_CLOSED,"$TAG$",ValveModulatingIO[[#This Row],[Tag]])</f>
        <v>CommDamperClosed(threshold:=#CAV_SU01B_003.closedThreshold, Fbk:="ModbusStations".CAV_SU01B_003.Data.Fbk)</v>
      </c>
      <c r="F8" t="str">
        <f>SUBSTITUTE(CAV_FEEDBACK,"$TAG$",ValveModulatingIO[[#This Row],[Tag]])</f>
        <v>"ModbusStations".CAV_SU01B_003.Data.Fbk.RelativeVolumetricFlow</v>
      </c>
      <c r="G8" t="str">
        <f>SUBSTITUTE(CAV_REFERENCE,"$TAG$",ValveModulatingIO[[#This Row],[Tag]])</f>
        <v>"ModbusStations".CAV_SU01B_003.Data.Cmd.Setpoint</v>
      </c>
    </row>
    <row r="9" spans="1:9" x14ac:dyDescent="0.3">
      <c r="A9" t="s">
        <v>2076</v>
      </c>
      <c r="C9" t="str">
        <f>SUBSTITUTE(COMM_ERROR,"$TAG$",ValveModulatingIO[[#This Row],[Tag]])</f>
        <v>"ModbusStations".CAV_SU01B_004.Station.Status.ErrorComm</v>
      </c>
      <c r="D9" t="str" cm="1">
        <f t="array" ref="D9">SUBSTITUTE(COMM_OPEN,"$TAG$",ValveModulatingIO[[#This Row],[Tag]])</f>
        <v>CommDamperOpen(threshold:=#CAV_SU01B_004.openThreshold, Fbk:="ModbusStations".CAV_SU01B_004.Data.Fbk)</v>
      </c>
      <c r="E9" t="str">
        <f>SUBSTITUTE(COMM_CLOSED,"$TAG$",ValveModulatingIO[[#This Row],[Tag]])</f>
        <v>CommDamperClosed(threshold:=#CAV_SU01B_004.closedThreshold, Fbk:="ModbusStations".CAV_SU01B_004.Data.Fbk)</v>
      </c>
      <c r="F9" t="str">
        <f>SUBSTITUTE(CAV_FEEDBACK,"$TAG$",ValveModulatingIO[[#This Row],[Tag]])</f>
        <v>"ModbusStations".CAV_SU01B_004.Data.Fbk.RelativeVolumetricFlow</v>
      </c>
      <c r="G9" t="str">
        <f>SUBSTITUTE(CAV_REFERENCE,"$TAG$",ValveModulatingIO[[#This Row],[Tag]])</f>
        <v>"ModbusStations".CAV_SU01B_004.Data.Cmd.Setpoint</v>
      </c>
    </row>
    <row r="10" spans="1:9" x14ac:dyDescent="0.3">
      <c r="A10" t="s">
        <v>2080</v>
      </c>
      <c r="C10" t="str">
        <f>SUBSTITUTE(COMM_ERROR,"$TAG$",ValveModulatingIO[[#This Row],[Tag]])</f>
        <v>"ModbusStations".CAV_00101_001.Station.Status.ErrorComm</v>
      </c>
      <c r="D10" t="str" cm="1">
        <f t="array" ref="D10">SUBSTITUTE(COMM_OPEN,"$TAG$",ValveModulatingIO[[#This Row],[Tag]])</f>
        <v>CommDamperOpen(threshold:=#CAV_00101_001.openThreshold, Fbk:="ModbusStations".CAV_00101_001.Data.Fbk)</v>
      </c>
      <c r="E10" t="str">
        <f>SUBSTITUTE(COMM_CLOSED,"$TAG$",ValveModulatingIO[[#This Row],[Tag]])</f>
        <v>CommDamperClosed(threshold:=#CAV_00101_001.closedThreshold, Fbk:="ModbusStations".CAV_00101_001.Data.Fbk)</v>
      </c>
      <c r="F10" t="str">
        <f>SUBSTITUTE(CAV_FEEDBACK,"$TAG$",ValveModulatingIO[[#This Row],[Tag]])</f>
        <v>"ModbusStations".CAV_00101_001.Data.Fbk.RelativeVolumetricFlow</v>
      </c>
      <c r="G10" t="str">
        <f>SUBSTITUTE(CAV_REFERENCE,"$TAG$",ValveModulatingIO[[#This Row],[Tag]])</f>
        <v>"ModbusStations".CAV_00101_001.Data.Cmd.Setpoint</v>
      </c>
    </row>
    <row r="11" spans="1:9" x14ac:dyDescent="0.3">
      <c r="A11" t="s">
        <v>2084</v>
      </c>
      <c r="C11" t="str">
        <f>SUBSTITUTE(COMM_ERROR,"$TAG$",ValveModulatingIO[[#This Row],[Tag]])</f>
        <v>"ModbusStations".CAV_00102_001.Station.Status.ErrorComm</v>
      </c>
      <c r="D11" t="str" cm="1">
        <f t="array" ref="D11">SUBSTITUTE(COMM_OPEN,"$TAG$",ValveModulatingIO[[#This Row],[Tag]])</f>
        <v>CommDamperOpen(threshold:=#CAV_00102_001.openThreshold, Fbk:="ModbusStations".CAV_00102_001.Data.Fbk)</v>
      </c>
      <c r="E11" t="str">
        <f>SUBSTITUTE(COMM_CLOSED,"$TAG$",ValveModulatingIO[[#This Row],[Tag]])</f>
        <v>CommDamperClosed(threshold:=#CAV_00102_001.closedThreshold, Fbk:="ModbusStations".CAV_00102_001.Data.Fbk)</v>
      </c>
      <c r="F11" t="str">
        <f>SUBSTITUTE(CAV_FEEDBACK,"$TAG$",ValveModulatingIO[[#This Row],[Tag]])</f>
        <v>"ModbusStations".CAV_00102_001.Data.Fbk.RelativeVolumetricFlow</v>
      </c>
      <c r="G11" t="str">
        <f>SUBSTITUTE(CAV_REFERENCE,"$TAG$",ValveModulatingIO[[#This Row],[Tag]])</f>
        <v>"ModbusStations".CAV_00102_001.Data.Cmd.Setpoint</v>
      </c>
    </row>
    <row r="12" spans="1:9" x14ac:dyDescent="0.3">
      <c r="A12" t="s">
        <v>2088</v>
      </c>
      <c r="C12" t="str">
        <f>SUBSTITUTE(COMM_ERROR,"$TAG$",ValveModulatingIO[[#This Row],[Tag]])</f>
        <v>"ModbusStations".CAV_00103_001.Station.Status.ErrorComm</v>
      </c>
      <c r="D12" t="str" cm="1">
        <f t="array" ref="D12">SUBSTITUTE(COMM_OPEN,"$TAG$",ValveModulatingIO[[#This Row],[Tag]])</f>
        <v>CommDamperOpen(threshold:=#CAV_00103_001.openThreshold, Fbk:="ModbusStations".CAV_00103_001.Data.Fbk)</v>
      </c>
      <c r="E12" t="str">
        <f>SUBSTITUTE(COMM_CLOSED,"$TAG$",ValveModulatingIO[[#This Row],[Tag]])</f>
        <v>CommDamperClosed(threshold:=#CAV_00103_001.closedThreshold, Fbk:="ModbusStations".CAV_00103_001.Data.Fbk)</v>
      </c>
      <c r="F12" t="str">
        <f>SUBSTITUTE(CAV_FEEDBACK,"$TAG$",ValveModulatingIO[[#This Row],[Tag]])</f>
        <v>"ModbusStations".CAV_00103_001.Data.Fbk.RelativeVolumetricFlow</v>
      </c>
      <c r="G12" t="str">
        <f>SUBSTITUTE(CAV_REFERENCE,"$TAG$",ValveModulatingIO[[#This Row],[Tag]])</f>
        <v>"ModbusStations".CAV_00103_001.Data.Cmd.Setpoint</v>
      </c>
    </row>
    <row r="13" spans="1:9" x14ac:dyDescent="0.3">
      <c r="A13" t="s">
        <v>2092</v>
      </c>
      <c r="C13" t="str">
        <f>SUBSTITUTE(COMM_ERROR,"$TAG$",ValveModulatingIO[[#This Row],[Tag]])</f>
        <v>"ModbusStations".CAV_00104_001.Station.Status.ErrorComm</v>
      </c>
      <c r="D13" t="str" cm="1">
        <f t="array" ref="D13">SUBSTITUTE(COMM_OPEN,"$TAG$",ValveModulatingIO[[#This Row],[Tag]])</f>
        <v>CommDamperOpen(threshold:=#CAV_00104_001.openThreshold, Fbk:="ModbusStations".CAV_00104_001.Data.Fbk)</v>
      </c>
      <c r="E13" t="str">
        <f>SUBSTITUTE(COMM_CLOSED,"$TAG$",ValveModulatingIO[[#This Row],[Tag]])</f>
        <v>CommDamperClosed(threshold:=#CAV_00104_001.closedThreshold, Fbk:="ModbusStations".CAV_00104_001.Data.Fbk)</v>
      </c>
      <c r="F13" t="str">
        <f>SUBSTITUTE(CAV_FEEDBACK,"$TAG$",ValveModulatingIO[[#This Row],[Tag]])</f>
        <v>"ModbusStations".CAV_00104_001.Data.Fbk.RelativeVolumetricFlow</v>
      </c>
      <c r="G13" t="str">
        <f>SUBSTITUTE(CAV_REFERENCE,"$TAG$",ValveModulatingIO[[#This Row],[Tag]])</f>
        <v>"ModbusStations".CAV_00104_001.Data.Cmd.Setpoint</v>
      </c>
    </row>
    <row r="14" spans="1:9" x14ac:dyDescent="0.3">
      <c r="A14" t="s">
        <v>2096</v>
      </c>
      <c r="C14" t="str">
        <f>SUBSTITUTE(COMM_ERROR,"$TAG$",ValveModulatingIO[[#This Row],[Tag]])</f>
        <v>"ModbusStations".CAV_00105_001.Station.Status.ErrorComm</v>
      </c>
      <c r="D14" t="str" cm="1">
        <f t="array" ref="D14">SUBSTITUTE(COMM_OPEN,"$TAG$",ValveModulatingIO[[#This Row],[Tag]])</f>
        <v>CommDamperOpen(threshold:=#CAV_00105_001.openThreshold, Fbk:="ModbusStations".CAV_00105_001.Data.Fbk)</v>
      </c>
      <c r="E14" t="str">
        <f>SUBSTITUTE(COMM_CLOSED,"$TAG$",ValveModulatingIO[[#This Row],[Tag]])</f>
        <v>CommDamperClosed(threshold:=#CAV_00105_001.closedThreshold, Fbk:="ModbusStations".CAV_00105_001.Data.Fbk)</v>
      </c>
      <c r="F14" t="str">
        <f>SUBSTITUTE(CAV_FEEDBACK,"$TAG$",ValveModulatingIO[[#This Row],[Tag]])</f>
        <v>"ModbusStations".CAV_00105_001.Data.Fbk.RelativeVolumetricFlow</v>
      </c>
      <c r="G14" t="str">
        <f>SUBSTITUTE(CAV_REFERENCE,"$TAG$",ValveModulatingIO[[#This Row],[Tag]])</f>
        <v>"ModbusStations".CAV_00105_001.Data.Cmd.Setpoint</v>
      </c>
    </row>
    <row r="15" spans="1:9" x14ac:dyDescent="0.3">
      <c r="A15" t="s">
        <v>2100</v>
      </c>
      <c r="C15" t="str">
        <f>SUBSTITUTE(COMM_ERROR,"$TAG$",ValveModulatingIO[[#This Row],[Tag]])</f>
        <v>"ModbusStations".CAV_00106_001.Station.Status.ErrorComm</v>
      </c>
      <c r="D15" t="str" cm="1">
        <f t="array" ref="D15">SUBSTITUTE(COMM_OPEN,"$TAG$",ValveModulatingIO[[#This Row],[Tag]])</f>
        <v>CommDamperOpen(threshold:=#CAV_00106_001.openThreshold, Fbk:="ModbusStations".CAV_00106_001.Data.Fbk)</v>
      </c>
      <c r="E15" t="str">
        <f>SUBSTITUTE(COMM_CLOSED,"$TAG$",ValveModulatingIO[[#This Row],[Tag]])</f>
        <v>CommDamperClosed(threshold:=#CAV_00106_001.closedThreshold, Fbk:="ModbusStations".CAV_00106_001.Data.Fbk)</v>
      </c>
      <c r="F15" t="str">
        <f>SUBSTITUTE(CAV_FEEDBACK,"$TAG$",ValveModulatingIO[[#This Row],[Tag]])</f>
        <v>"ModbusStations".CAV_00106_001.Data.Fbk.RelativeVolumetricFlow</v>
      </c>
      <c r="G15" t="str">
        <f>SUBSTITUTE(CAV_REFERENCE,"$TAG$",ValveModulatingIO[[#This Row],[Tag]])</f>
        <v>"ModbusStations".CAV_00106_001.Data.Cmd.Setpoint</v>
      </c>
    </row>
    <row r="16" spans="1:9" x14ac:dyDescent="0.3">
      <c r="A16" t="s">
        <v>2104</v>
      </c>
      <c r="C16" t="str">
        <f>SUBSTITUTE(COMM_ERROR,"$TAG$",ValveModulatingIO[[#This Row],[Tag]])</f>
        <v>"ModbusStations".CAV_00107_001.Station.Status.ErrorComm</v>
      </c>
      <c r="D16" t="str" cm="1">
        <f t="array" ref="D16">SUBSTITUTE(COMM_OPEN,"$TAG$",ValveModulatingIO[[#This Row],[Tag]])</f>
        <v>CommDamperOpen(threshold:=#CAV_00107_001.openThreshold, Fbk:="ModbusStations".CAV_00107_001.Data.Fbk)</v>
      </c>
      <c r="E16" t="str">
        <f>SUBSTITUTE(COMM_CLOSED,"$TAG$",ValveModulatingIO[[#This Row],[Tag]])</f>
        <v>CommDamperClosed(threshold:=#CAV_00107_001.closedThreshold, Fbk:="ModbusStations".CAV_00107_001.Data.Fbk)</v>
      </c>
      <c r="F16" t="str">
        <f>SUBSTITUTE(CAV_FEEDBACK,"$TAG$",ValveModulatingIO[[#This Row],[Tag]])</f>
        <v>"ModbusStations".CAV_00107_001.Data.Fbk.RelativeVolumetricFlow</v>
      </c>
      <c r="G16" t="str">
        <f>SUBSTITUTE(CAV_REFERENCE,"$TAG$",ValveModulatingIO[[#This Row],[Tag]])</f>
        <v>"ModbusStations".CAV_00107_001.Data.Cmd.Setpoint</v>
      </c>
    </row>
    <row r="17" spans="1:9" x14ac:dyDescent="0.3">
      <c r="A17" t="s">
        <v>2108</v>
      </c>
      <c r="C17" t="str">
        <f>SUBSTITUTE(COMM_ERROR,"$TAG$",ValveModulatingIO[[#This Row],[Tag]])</f>
        <v>"ModbusStations".CAV_00108_001.Station.Status.ErrorComm</v>
      </c>
      <c r="D17" t="str" cm="1">
        <f t="array" ref="D17">SUBSTITUTE(COMM_OPEN,"$TAG$",ValveModulatingIO[[#This Row],[Tag]])</f>
        <v>CommDamperOpen(threshold:=#CAV_00108_001.openThreshold, Fbk:="ModbusStations".CAV_00108_001.Data.Fbk)</v>
      </c>
      <c r="E17" t="str">
        <f>SUBSTITUTE(COMM_CLOSED,"$TAG$",ValveModulatingIO[[#This Row],[Tag]])</f>
        <v>CommDamperClosed(threshold:=#CAV_00108_001.closedThreshold, Fbk:="ModbusStations".CAV_00108_001.Data.Fbk)</v>
      </c>
      <c r="F17" t="str">
        <f>SUBSTITUTE(CAV_FEEDBACK,"$TAG$",ValveModulatingIO[[#This Row],[Tag]])</f>
        <v>"ModbusStations".CAV_00108_001.Data.Fbk.RelativeVolumetricFlow</v>
      </c>
      <c r="G17" t="str">
        <f>SUBSTITUTE(CAV_REFERENCE,"$TAG$",ValveModulatingIO[[#This Row],[Tag]])</f>
        <v>"ModbusStations".CAV_00108_001.Data.Cmd.Setpoint</v>
      </c>
    </row>
    <row r="18" spans="1:9" x14ac:dyDescent="0.3">
      <c r="A18" t="s">
        <v>2112</v>
      </c>
      <c r="C18" t="str">
        <f>SUBSTITUTE(COMM_ERROR,"$TAG$",ValveModulatingIO[[#This Row],[Tag]])</f>
        <v>"ModbusStations".CAV_00109_001.Station.Status.ErrorComm</v>
      </c>
      <c r="D18" t="str" cm="1">
        <f t="array" ref="D18">SUBSTITUTE(COMM_OPEN,"$TAG$",ValveModulatingIO[[#This Row],[Tag]])</f>
        <v>CommDamperOpen(threshold:=#CAV_00109_001.openThreshold, Fbk:="ModbusStations".CAV_00109_001.Data.Fbk)</v>
      </c>
      <c r="E18" t="str">
        <f>SUBSTITUTE(COMM_CLOSED,"$TAG$",ValveModulatingIO[[#This Row],[Tag]])</f>
        <v>CommDamperClosed(threshold:=#CAV_00109_001.closedThreshold, Fbk:="ModbusStations".CAV_00109_001.Data.Fbk)</v>
      </c>
      <c r="F18" t="str">
        <f>SUBSTITUTE(CAV_FEEDBACK,"$TAG$",ValveModulatingIO[[#This Row],[Tag]])</f>
        <v>"ModbusStations".CAV_00109_001.Data.Fbk.RelativeVolumetricFlow</v>
      </c>
      <c r="G18" t="str">
        <f>SUBSTITUTE(CAV_REFERENCE,"$TAG$",ValveModulatingIO[[#This Row],[Tag]])</f>
        <v>"ModbusStations".CAV_00109_001.Data.Cmd.Setpoint</v>
      </c>
    </row>
    <row r="19" spans="1:9" x14ac:dyDescent="0.3">
      <c r="A19" t="s">
        <v>2116</v>
      </c>
      <c r="C19" t="str">
        <f>SUBSTITUTE(COMM_ERROR,"$TAG$",ValveModulatingIO[[#This Row],[Tag]])</f>
        <v>"ModbusStations".CAV_00110_001.Station.Status.ErrorComm</v>
      </c>
      <c r="D19" t="str" cm="1">
        <f t="array" ref="D19">SUBSTITUTE(COMM_OPEN,"$TAG$",ValveModulatingIO[[#This Row],[Tag]])</f>
        <v>CommDamperOpen(threshold:=#CAV_00110_001.openThreshold, Fbk:="ModbusStations".CAV_00110_001.Data.Fbk)</v>
      </c>
      <c r="E19" t="str">
        <f>SUBSTITUTE(COMM_CLOSED,"$TAG$",ValveModulatingIO[[#This Row],[Tag]])</f>
        <v>CommDamperClosed(threshold:=#CAV_00110_001.closedThreshold, Fbk:="ModbusStations".CAV_00110_001.Data.Fbk)</v>
      </c>
      <c r="F19" t="str">
        <f>SUBSTITUTE(CAV_FEEDBACK,"$TAG$",ValveModulatingIO[[#This Row],[Tag]])</f>
        <v>"ModbusStations".CAV_00110_001.Data.Fbk.RelativeVolumetricFlow</v>
      </c>
      <c r="G19" t="str">
        <f>SUBSTITUTE(CAV_REFERENCE,"$TAG$",ValveModulatingIO[[#This Row],[Tag]])</f>
        <v>"ModbusStations".CAV_00110_001.Data.Cmd.Setpoint</v>
      </c>
    </row>
    <row r="20" spans="1:9" x14ac:dyDescent="0.3">
      <c r="A20" t="s">
        <v>2120</v>
      </c>
      <c r="C20" t="str">
        <f>SUBSTITUTE(COMM_ERROR,"$TAG$",ValveModulatingIO[[#This Row],[Tag]])</f>
        <v>"ModbusStations".CAV_00111_001.Station.Status.ErrorComm</v>
      </c>
      <c r="D20" t="str" cm="1">
        <f t="array" ref="D20">SUBSTITUTE(COMM_OPEN,"$TAG$",ValveModulatingIO[[#This Row],[Tag]])</f>
        <v>CommDamperOpen(threshold:=#CAV_00111_001.openThreshold, Fbk:="ModbusStations".CAV_00111_001.Data.Fbk)</v>
      </c>
      <c r="E20" t="str">
        <f>SUBSTITUTE(COMM_CLOSED,"$TAG$",ValveModulatingIO[[#This Row],[Tag]])</f>
        <v>CommDamperClosed(threshold:=#CAV_00111_001.closedThreshold, Fbk:="ModbusStations".CAV_00111_001.Data.Fbk)</v>
      </c>
      <c r="F20" t="str">
        <f>SUBSTITUTE(CAV_FEEDBACK,"$TAG$",ValveModulatingIO[[#This Row],[Tag]])</f>
        <v>"ModbusStations".CAV_00111_001.Data.Fbk.RelativeVolumetricFlow</v>
      </c>
      <c r="G20" t="str">
        <f>SUBSTITUTE(CAV_REFERENCE,"$TAG$",ValveModulatingIO[[#This Row],[Tag]])</f>
        <v>"ModbusStations".CAV_00111_001.Data.Cmd.Setpoint</v>
      </c>
    </row>
    <row r="21" spans="1:9" x14ac:dyDescent="0.3">
      <c r="A21" t="s">
        <v>2124</v>
      </c>
      <c r="C21" t="str">
        <f>SUBSTITUTE(COMM_ERROR,"$TAG$",ValveModulatingIO[[#This Row],[Tag]])</f>
        <v>"ModbusStations".CAV_00113_001.Station.Status.ErrorComm</v>
      </c>
      <c r="D21" t="str" cm="1">
        <f t="array" ref="D21">SUBSTITUTE(COMM_OPEN,"$TAG$",ValveModulatingIO[[#This Row],[Tag]])</f>
        <v>CommDamperOpen(threshold:=#CAV_00113_001.openThreshold, Fbk:="ModbusStations".CAV_00113_001.Data.Fbk)</v>
      </c>
      <c r="E21" t="str">
        <f>SUBSTITUTE(COMM_CLOSED,"$TAG$",ValveModulatingIO[[#This Row],[Tag]])</f>
        <v>CommDamperClosed(threshold:=#CAV_00113_001.closedThreshold, Fbk:="ModbusStations".CAV_00113_001.Data.Fbk)</v>
      </c>
      <c r="F21" t="str">
        <f>SUBSTITUTE(CAV_FEEDBACK,"$TAG$",ValveModulatingIO[[#This Row],[Tag]])</f>
        <v>"ModbusStations".CAV_00113_001.Data.Fbk.RelativeVolumetricFlow</v>
      </c>
      <c r="G21" t="str">
        <f>SUBSTITUTE(CAV_REFERENCE,"$TAG$",ValveModulatingIO[[#This Row],[Tag]])</f>
        <v>"ModbusStations".CAV_00113_001.Data.Cmd.Setpoint</v>
      </c>
    </row>
    <row r="22" spans="1:9" x14ac:dyDescent="0.3">
      <c r="A22" t="s">
        <v>2128</v>
      </c>
      <c r="C22" t="str">
        <f>SUBSTITUTE(COMM_ERROR,"$TAG$",ValveModulatingIO[[#This Row],[Tag]])</f>
        <v>"ModbusStations".CAV_00114_001.Station.Status.ErrorComm</v>
      </c>
      <c r="D22" t="str" cm="1">
        <f t="array" ref="D22">SUBSTITUTE(COMM_OPEN,"$TAG$",ValveModulatingIO[[#This Row],[Tag]])</f>
        <v>CommDamperOpen(threshold:=#CAV_00114_001.openThreshold, Fbk:="ModbusStations".CAV_00114_001.Data.Fbk)</v>
      </c>
      <c r="E22" t="str">
        <f>SUBSTITUTE(COMM_CLOSED,"$TAG$",ValveModulatingIO[[#This Row],[Tag]])</f>
        <v>CommDamperClosed(threshold:=#CAV_00114_001.closedThreshold, Fbk:="ModbusStations".CAV_00114_001.Data.Fbk)</v>
      </c>
      <c r="F22" t="str">
        <f>SUBSTITUTE(CAV_FEEDBACK,"$TAG$",ValveModulatingIO[[#This Row],[Tag]])</f>
        <v>"ModbusStations".CAV_00114_001.Data.Fbk.RelativeVolumetricFlow</v>
      </c>
      <c r="G22" t="str">
        <f>SUBSTITUTE(CAV_REFERENCE,"$TAG$",ValveModulatingIO[[#This Row],[Tag]])</f>
        <v>"ModbusStations".CAV_00114_001.Data.Cmd.Setpoint</v>
      </c>
    </row>
    <row r="23" spans="1:9" x14ac:dyDescent="0.3">
      <c r="A23" t="s">
        <v>2132</v>
      </c>
      <c r="C23" t="str">
        <f>SUBSTITUTE(COMM_ERROR,"$TAG$",ValveModulatingIO[[#This Row],[Tag]])</f>
        <v>"ModbusStations".CAV_00115_001.Station.Status.ErrorComm</v>
      </c>
      <c r="D23" t="str" cm="1">
        <f t="array" ref="D23">SUBSTITUTE(COMM_OPEN,"$TAG$",ValveModulatingIO[[#This Row],[Tag]])</f>
        <v>CommDamperOpen(threshold:=#CAV_00115_001.openThreshold, Fbk:="ModbusStations".CAV_00115_001.Data.Fbk)</v>
      </c>
      <c r="E23" t="str">
        <f>SUBSTITUTE(COMM_CLOSED,"$TAG$",ValveModulatingIO[[#This Row],[Tag]])</f>
        <v>CommDamperClosed(threshold:=#CAV_00115_001.closedThreshold, Fbk:="ModbusStations".CAV_00115_001.Data.Fbk)</v>
      </c>
      <c r="F23" t="str">
        <f>SUBSTITUTE(CAV_FEEDBACK,"$TAG$",ValveModulatingIO[[#This Row],[Tag]])</f>
        <v>"ModbusStations".CAV_00115_001.Data.Fbk.RelativeVolumetricFlow</v>
      </c>
      <c r="G23" t="str">
        <f>SUBSTITUTE(CAV_REFERENCE,"$TAG$",ValveModulatingIO[[#This Row],[Tag]])</f>
        <v>"ModbusStations".CAV_00115_001.Data.Cmd.Setpoint</v>
      </c>
    </row>
    <row r="24" spans="1:9" x14ac:dyDescent="0.3">
      <c r="A24" t="s">
        <v>2136</v>
      </c>
      <c r="C24" t="str">
        <f>SUBSTITUTE(COMM_ERROR,"$TAG$",ValveModulatingIO[[#This Row],[Tag]])</f>
        <v>"ModbusStations".CAV_00116_001.Station.Status.ErrorComm</v>
      </c>
      <c r="D24" t="str" cm="1">
        <f t="array" ref="D24">SUBSTITUTE(COMM_OPEN,"$TAG$",ValveModulatingIO[[#This Row],[Tag]])</f>
        <v>CommDamperOpen(threshold:=#CAV_00116_001.openThreshold, Fbk:="ModbusStations".CAV_00116_001.Data.Fbk)</v>
      </c>
      <c r="E24" t="str">
        <f>SUBSTITUTE(COMM_CLOSED,"$TAG$",ValveModulatingIO[[#This Row],[Tag]])</f>
        <v>CommDamperClosed(threshold:=#CAV_00116_001.closedThreshold, Fbk:="ModbusStations".CAV_00116_001.Data.Fbk)</v>
      </c>
      <c r="F24" t="str">
        <f>SUBSTITUTE(CAV_FEEDBACK,"$TAG$",ValveModulatingIO[[#This Row],[Tag]])</f>
        <v>"ModbusStations".CAV_00116_001.Data.Fbk.RelativeVolumetricFlow</v>
      </c>
      <c r="G24" t="str">
        <f>SUBSTITUTE(CAV_REFERENCE,"$TAG$",ValveModulatingIO[[#This Row],[Tag]])</f>
        <v>"ModbusStations".CAV_00116_001.Data.Cmd.Setpoint</v>
      </c>
    </row>
    <row r="25" spans="1:9" x14ac:dyDescent="0.3">
      <c r="A25" t="s">
        <v>2140</v>
      </c>
      <c r="H25" t="str">
        <f>_xlfn.XLOOKUP(ValveModulatingIO[[#This Row],[Tag]] &amp; "*" &amp; "FB",IOL_QUERY[Custom],IOL_QUERY[Column3],"",2)</f>
        <v>VAV-00101-001_FB</v>
      </c>
      <c r="I25" t="str">
        <f>_xlfn.XLOOKUP(ValveModulatingIO[[#This Row],[Tag]] &amp; "*" &amp; "SP",IOL_QUERY[Custom],IOL_QUERY[Column3],"",2)</f>
        <v>VAV-00101-001_SP</v>
      </c>
    </row>
    <row r="26" spans="1:9" x14ac:dyDescent="0.3">
      <c r="A26" t="s">
        <v>2144</v>
      </c>
      <c r="H26" t="str">
        <f>_xlfn.XLOOKUP(ValveModulatingIO[[#This Row],[Tag]] &amp; "*" &amp; "FB",IOL_QUERY[Custom],IOL_QUERY[Column3],"",2)</f>
        <v>VAV-00102-001_FB</v>
      </c>
      <c r="I26" t="str">
        <f>_xlfn.XLOOKUP(ValveModulatingIO[[#This Row],[Tag]] &amp; "*" &amp; "SP",IOL_QUERY[Custom],IOL_QUERY[Column3],"",2)</f>
        <v>VAV-00102-001_SP</v>
      </c>
    </row>
    <row r="27" spans="1:9" x14ac:dyDescent="0.3">
      <c r="A27" t="s">
        <v>2148</v>
      </c>
      <c r="H27" t="str">
        <f>_xlfn.XLOOKUP(ValveModulatingIO[[#This Row],[Tag]] &amp; "*" &amp; "FB",IOL_QUERY[Custom],IOL_QUERY[Column3],"",2)</f>
        <v>VAV-00103-001_FB</v>
      </c>
      <c r="I27" t="str">
        <f>_xlfn.XLOOKUP(ValveModulatingIO[[#This Row],[Tag]] &amp; "*" &amp; "SP",IOL_QUERY[Custom],IOL_QUERY[Column3],"",2)</f>
        <v>VAV-00103-001_SP</v>
      </c>
    </row>
    <row r="28" spans="1:9" x14ac:dyDescent="0.3">
      <c r="A28" t="s">
        <v>2152</v>
      </c>
      <c r="H28" t="str">
        <f>_xlfn.XLOOKUP(ValveModulatingIO[[#This Row],[Tag]] &amp; "*" &amp; "FB",IOL_QUERY[Custom],IOL_QUERY[Column3],"",2)</f>
        <v>VAV-00104-001_FB</v>
      </c>
      <c r="I28" t="str">
        <f>_xlfn.XLOOKUP(ValveModulatingIO[[#This Row],[Tag]] &amp; "*" &amp; "SP",IOL_QUERY[Custom],IOL_QUERY[Column3],"",2)</f>
        <v>VAV-00104-001_SP</v>
      </c>
    </row>
    <row r="29" spans="1:9" x14ac:dyDescent="0.3">
      <c r="A29" t="s">
        <v>2156</v>
      </c>
      <c r="H29" t="str">
        <f>_xlfn.XLOOKUP(ValveModulatingIO[[#This Row],[Tag]] &amp; "*" &amp; "FB",IOL_QUERY[Custom],IOL_QUERY[Column3],"",2)</f>
        <v>VAV-00105-001_FB</v>
      </c>
      <c r="I29" t="str">
        <f>_xlfn.XLOOKUP(ValveModulatingIO[[#This Row],[Tag]] &amp; "*" &amp; "SP",IOL_QUERY[Custom],IOL_QUERY[Column3],"",2)</f>
        <v>VAV-00105-001_SP</v>
      </c>
    </row>
    <row r="30" spans="1:9" x14ac:dyDescent="0.3">
      <c r="A30" t="s">
        <v>2160</v>
      </c>
      <c r="H30" t="str">
        <f>_xlfn.XLOOKUP(ValveModulatingIO[[#This Row],[Tag]] &amp; "*" &amp; "FB",IOL_QUERY[Custom],IOL_QUERY[Column3],"",2)</f>
        <v>VAV-00106-001_FB</v>
      </c>
      <c r="I30" t="str">
        <f>_xlfn.XLOOKUP(ValveModulatingIO[[#This Row],[Tag]] &amp; "*" &amp; "SP",IOL_QUERY[Custom],IOL_QUERY[Column3],"",2)</f>
        <v>VAV-00106-001_SP</v>
      </c>
    </row>
    <row r="31" spans="1:9" x14ac:dyDescent="0.3">
      <c r="A31" t="s">
        <v>2164</v>
      </c>
      <c r="H31" t="str">
        <f>_xlfn.XLOOKUP(ValveModulatingIO[[#This Row],[Tag]] &amp; "*" &amp; "FB",IOL_QUERY[Custom],IOL_QUERY[Column3],"",2)</f>
        <v>VAV-00107-001_FB</v>
      </c>
      <c r="I31" t="str">
        <f>_xlfn.XLOOKUP(ValveModulatingIO[[#This Row],[Tag]] &amp; "*" &amp; "SP",IOL_QUERY[Custom],IOL_QUERY[Column3],"",2)</f>
        <v>VAV-00107-001_SP</v>
      </c>
    </row>
    <row r="32" spans="1:9" x14ac:dyDescent="0.3">
      <c r="A32" t="s">
        <v>2168</v>
      </c>
      <c r="H32" t="str">
        <f>_xlfn.XLOOKUP(ValveModulatingIO[[#This Row],[Tag]] &amp; "*" &amp; "FB",IOL_QUERY[Custom],IOL_QUERY[Column3],"",2)</f>
        <v>VAV-00108-001_FB</v>
      </c>
      <c r="I32" t="str">
        <f>_xlfn.XLOOKUP(ValveModulatingIO[[#This Row],[Tag]] &amp; "*" &amp; "SP",IOL_QUERY[Custom],IOL_QUERY[Column3],"",2)</f>
        <v>VAV-00108-001_SP</v>
      </c>
    </row>
    <row r="33" spans="1:9" x14ac:dyDescent="0.3">
      <c r="A33" t="s">
        <v>2172</v>
      </c>
      <c r="H33" t="str">
        <f>_xlfn.XLOOKUP(ValveModulatingIO[[#This Row],[Tag]] &amp; "*" &amp; "FB",IOL_QUERY[Custom],IOL_QUERY[Column3],"",2)</f>
        <v>VAV-00109-001_FB</v>
      </c>
      <c r="I33" t="str">
        <f>_xlfn.XLOOKUP(ValveModulatingIO[[#This Row],[Tag]] &amp; "*" &amp; "SP",IOL_QUERY[Custom],IOL_QUERY[Column3],"",2)</f>
        <v>VAV-00109-001_SP</v>
      </c>
    </row>
    <row r="34" spans="1:9" x14ac:dyDescent="0.3">
      <c r="A34" t="s">
        <v>2176</v>
      </c>
      <c r="H34" t="str">
        <f>_xlfn.XLOOKUP(ValveModulatingIO[[#This Row],[Tag]] &amp; "*" &amp; "FB",IOL_QUERY[Custom],IOL_QUERY[Column3],"",2)</f>
        <v>VAV-00110-001_FB</v>
      </c>
      <c r="I34" t="str">
        <f>_xlfn.XLOOKUP(ValveModulatingIO[[#This Row],[Tag]] &amp; "*" &amp; "SP",IOL_QUERY[Custom],IOL_QUERY[Column3],"",2)</f>
        <v>VAV-00110-001_SP</v>
      </c>
    </row>
    <row r="35" spans="1:9" x14ac:dyDescent="0.3">
      <c r="A35" t="s">
        <v>2180</v>
      </c>
      <c r="H35" t="str">
        <f>_xlfn.XLOOKUP(ValveModulatingIO[[#This Row],[Tag]] &amp; "*" &amp; "FB",IOL_QUERY[Custom],IOL_QUERY[Column3],"",2)</f>
        <v>VAV-00111-001_FB</v>
      </c>
      <c r="I35" t="str">
        <f>_xlfn.XLOOKUP(ValveModulatingIO[[#This Row],[Tag]] &amp; "*" &amp; "SP",IOL_QUERY[Custom],IOL_QUERY[Column3],"",2)</f>
        <v>VAV-00111-001_SP</v>
      </c>
    </row>
    <row r="36" spans="1:9" x14ac:dyDescent="0.3">
      <c r="A36" t="s">
        <v>2184</v>
      </c>
      <c r="H36" t="str">
        <f>_xlfn.XLOOKUP(ValveModulatingIO[[#This Row],[Tag]] &amp; "*" &amp; "FB",IOL_QUERY[Custom],IOL_QUERY[Column3],"",2)</f>
        <v>VAV-00113-001_FB</v>
      </c>
      <c r="I36" t="str">
        <f>_xlfn.XLOOKUP(ValveModulatingIO[[#This Row],[Tag]] &amp; "*" &amp; "SP",IOL_QUERY[Custom],IOL_QUERY[Column3],"",2)</f>
        <v>VAV-00113-001_SP</v>
      </c>
    </row>
    <row r="37" spans="1:9" x14ac:dyDescent="0.3">
      <c r="A37" t="s">
        <v>2188</v>
      </c>
      <c r="H37" t="str">
        <f>_xlfn.XLOOKUP(ValveModulatingIO[[#This Row],[Tag]] &amp; "*" &amp; "FB",IOL_QUERY[Custom],IOL_QUERY[Column3],"",2)</f>
        <v>VAV-00114-001_FB</v>
      </c>
      <c r="I37" t="str">
        <f>_xlfn.XLOOKUP(ValveModulatingIO[[#This Row],[Tag]] &amp; "*" &amp; "SP",IOL_QUERY[Custom],IOL_QUERY[Column3],"",2)</f>
        <v>VAV-00114-001_SP</v>
      </c>
    </row>
    <row r="38" spans="1:9" x14ac:dyDescent="0.3">
      <c r="A38" t="s">
        <v>2192</v>
      </c>
      <c r="H38" t="str">
        <f>_xlfn.XLOOKUP(ValveModulatingIO[[#This Row],[Tag]] &amp; "*" &amp; "FB",IOL_QUERY[Custom],IOL_QUERY[Column3],"",2)</f>
        <v>VAV-00115-001_FB</v>
      </c>
      <c r="I38" t="str">
        <f>_xlfn.XLOOKUP(ValveModulatingIO[[#This Row],[Tag]] &amp; "*" &amp; "SP",IOL_QUERY[Custom],IOL_QUERY[Column3],"",2)</f>
        <v>VAV-00115-001_SP</v>
      </c>
    </row>
    <row r="39" spans="1:9" x14ac:dyDescent="0.3">
      <c r="A39" t="s">
        <v>2196</v>
      </c>
      <c r="H39" t="str">
        <f>_xlfn.XLOOKUP(ValveModulatingIO[[#This Row],[Tag]] &amp; "*" &amp; "FB",IOL_QUERY[Custom],IOL_QUERY[Column3],"",2)</f>
        <v>VAV-00116-001_FB</v>
      </c>
      <c r="I39" t="str">
        <f>_xlfn.XLOOKUP(ValveModulatingIO[[#This Row],[Tag]] &amp; "*" &amp; "SP",IOL_QUERY[Custom],IOL_QUERY[Column3],"",2)</f>
        <v>VAV-00116-001_SP</v>
      </c>
    </row>
    <row r="40" spans="1:9" x14ac:dyDescent="0.3">
      <c r="A40" t="s">
        <v>2200</v>
      </c>
      <c r="H40" t="str">
        <f>_xlfn.XLOOKUP(ValveModulatingIO[[#This Row],[Tag]] &amp; "*" &amp; "FB",IOL_QUERY[Custom],IOL_QUERY[Column3],"",2)</f>
        <v>CEM-SU01-001_FB</v>
      </c>
      <c r="I40" t="str">
        <f>_xlfn.XLOOKUP(ValveModulatingIO[[#This Row],[Tag]] &amp; "*" &amp; "SP",IOL_QUERY[Custom],IOL_QUERY[Column3],"",2)</f>
        <v>CEM-SU01-001_SP</v>
      </c>
    </row>
    <row r="41" spans="1:9" x14ac:dyDescent="0.3">
      <c r="A41" t="s">
        <v>2204</v>
      </c>
      <c r="H41" t="str">
        <f>_xlfn.XLOOKUP(ValveModulatingIO[[#This Row],[Tag]] &amp; "*" &amp; "FB",IOL_QUERY[Custom],IOL_QUERY[Column3],"",2)</f>
        <v>CEM-SU01B-002_FB</v>
      </c>
      <c r="I41" t="str">
        <f>_xlfn.XLOOKUP(ValveModulatingIO[[#This Row],[Tag]] &amp; "*" &amp; "SP",IOL_QUERY[Custom],IOL_QUERY[Column3],"",2)</f>
        <v>CEM-SU01B-002_SP</v>
      </c>
    </row>
    <row r="42" spans="1:9" x14ac:dyDescent="0.3">
      <c r="A42" t="s">
        <v>2208</v>
      </c>
      <c r="H42" t="str">
        <f>_xlfn.XLOOKUP(ValveModulatingIO[[#This Row],[Tag]] &amp; "*" &amp; "FB",IOL_QUERY[Custom],IOL_QUERY[Column3],"",2)</f>
        <v/>
      </c>
      <c r="I42" t="str">
        <f>_xlfn.XLOOKUP(ValveModulatingIO[[#This Row],[Tag]] &amp; "*" &amp; "SP",IOL_QUERY[Custom],IOL_QUERY[Column3],"",2)</f>
        <v>PICV-CLW-009_SP</v>
      </c>
    </row>
    <row r="43" spans="1:9" x14ac:dyDescent="0.3">
      <c r="A43" t="s">
        <v>2212</v>
      </c>
      <c r="H43" t="str">
        <f>_xlfn.XLOOKUP(ValveModulatingIO[[#This Row],[Tag]] &amp; "*" &amp; "FB",IOL_QUERY[Custom],IOL_QUERY[Column3],"",2)</f>
        <v/>
      </c>
      <c r="I43" t="str">
        <f>_xlfn.XLOOKUP(ValveModulatingIO[[#This Row],[Tag]] &amp; "*" &amp; "SP",IOL_QUERY[Custom],IOL_QUERY[Column3],"",2)</f>
        <v>PICV-HW-001_SP</v>
      </c>
    </row>
    <row r="44" spans="1:9" x14ac:dyDescent="0.3">
      <c r="A44" t="s">
        <v>2216</v>
      </c>
      <c r="H44" t="str">
        <f>_xlfn.XLOOKUP(ValveModulatingIO[[#This Row],[Tag]] &amp; "*" &amp; "FB",IOL_QUERY[Custom],IOL_QUERY[Column3],"",2)</f>
        <v/>
      </c>
      <c r="I44" t="str">
        <f>_xlfn.XLOOKUP(ValveModulatingIO[[#This Row],[Tag]] &amp; "*" &amp; "SP",IOL_QUERY[Custom],IOL_QUERY[Column3],"",2)</f>
        <v>PICV-CLW-006_SP</v>
      </c>
    </row>
    <row r="45" spans="1:9" x14ac:dyDescent="0.3">
      <c r="A45" t="s">
        <v>2220</v>
      </c>
      <c r="H45" t="str">
        <f>_xlfn.XLOOKUP(ValveModulatingIO[[#This Row],[Tag]] &amp; "*" &amp; "FB",IOL_QUERY[Custom],IOL_QUERY[Column3],"",2)</f>
        <v/>
      </c>
      <c r="I45" t="str">
        <f>_xlfn.XLOOKUP(ValveModulatingIO[[#This Row],[Tag]] &amp; "*" &amp; "SP",IOL_QUERY[Custom],IOL_QUERY[Column3],"",2)</f>
        <v>PICV-CLW-001_SP</v>
      </c>
    </row>
    <row r="46" spans="1:9" x14ac:dyDescent="0.3">
      <c r="A46" t="s">
        <v>2224</v>
      </c>
      <c r="H46" t="str">
        <f>_xlfn.XLOOKUP(ValveModulatingIO[[#This Row],[Tag]] &amp; "*" &amp; "FB",IOL_QUERY[Custom],IOL_QUERY[Column3],"",2)</f>
        <v/>
      </c>
      <c r="I46" t="str">
        <f>_xlfn.XLOOKUP(ValveModulatingIO[[#This Row],[Tag]] &amp; "*" &amp; "SP",IOL_QUERY[Custom],IOL_QUERY[Column3],"",2)</f>
        <v>PICV-CLW-002_SP</v>
      </c>
    </row>
    <row r="47" spans="1:9" x14ac:dyDescent="0.3">
      <c r="A47" t="s">
        <v>2228</v>
      </c>
      <c r="H47" t="str">
        <f>_xlfn.XLOOKUP(ValveModulatingIO[[#This Row],[Tag]] &amp; "*" &amp; "FB",IOL_QUERY[Custom],IOL_QUERY[Column3],"",2)</f>
        <v/>
      </c>
      <c r="I47" t="str">
        <f>_xlfn.XLOOKUP(ValveModulatingIO[[#This Row],[Tag]] &amp; "*" &amp; "SP",IOL_QUERY[Custom],IOL_QUERY[Column3],"",2)</f>
        <v>PICV-CLW-003_SP</v>
      </c>
    </row>
    <row r="48" spans="1:9" x14ac:dyDescent="0.3">
      <c r="A48" t="s">
        <v>2232</v>
      </c>
      <c r="H48" t="str">
        <f>_xlfn.XLOOKUP(ValveModulatingIO[[#This Row],[Tag]] &amp; "*" &amp; "FB",IOL_QUERY[Custom],IOL_QUERY[Column3],"",2)</f>
        <v/>
      </c>
      <c r="I48" t="str">
        <f>_xlfn.XLOOKUP(ValveModulatingIO[[#This Row],[Tag]] &amp; "*" &amp; "SP",IOL_QUERY[Custom],IOL_QUERY[Column3],"",2)</f>
        <v>PICV-CLW-004 _SP</v>
      </c>
    </row>
    <row r="49" spans="1:9" x14ac:dyDescent="0.3">
      <c r="A49" t="s">
        <v>2236</v>
      </c>
      <c r="H49" t="str">
        <f>_xlfn.XLOOKUP(ValveModulatingIO[[#This Row],[Tag]] &amp; "*" &amp; "FB",IOL_QUERY[Custom],IOL_QUERY[Column3],"",2)</f>
        <v/>
      </c>
      <c r="I49" t="str">
        <f>_xlfn.XLOOKUP(ValveModulatingIO[[#This Row],[Tag]] &amp; "*" &amp; "SP",IOL_QUERY[Custom],IOL_QUERY[Column3],"",2)</f>
        <v>PICV-CLW-007_SP</v>
      </c>
    </row>
    <row r="50" spans="1:9" x14ac:dyDescent="0.3">
      <c r="A50" t="s">
        <v>2240</v>
      </c>
      <c r="H50" t="str">
        <f>_xlfn.XLOOKUP(ValveModulatingIO[[#This Row],[Tag]] &amp; "*" &amp; "FB",IOL_QUERY[Custom],IOL_QUERY[Column3],"",2)</f>
        <v/>
      </c>
      <c r="I50" t="str">
        <f>_xlfn.XLOOKUP(ValveModulatingIO[[#This Row],[Tag]] &amp; "*" &amp; "SP",IOL_QUERY[Custom],IOL_QUERY[Column3],"",2)</f>
        <v>PICV-CLW-008_SP</v>
      </c>
    </row>
    <row r="51" spans="1:9" x14ac:dyDescent="0.3">
      <c r="A51" t="s">
        <v>2244</v>
      </c>
      <c r="H51" t="str">
        <f>_xlfn.XLOOKUP(ValveModulatingIO[[#This Row],[Tag]] &amp; "*" &amp; "FB",IOL_QUERY[Custom],IOL_QUERY[Column3],"",2)</f>
        <v/>
      </c>
      <c r="I51" t="str">
        <f>_xlfn.XLOOKUP(ValveModulatingIO[[#This Row],[Tag]] &amp; "*" &amp; "SP",IOL_QUERY[Custom],IOL_QUERY[Column3],"",2)</f>
        <v>PICV-CLW-010_SP</v>
      </c>
    </row>
    <row r="52" spans="1:9" x14ac:dyDescent="0.3">
      <c r="A52" t="s">
        <v>2248</v>
      </c>
      <c r="H52" t="str">
        <f>_xlfn.XLOOKUP(ValveModulatingIO[[#This Row],[Tag]] &amp; "*" &amp; "FB",IOL_QUERY[Custom],IOL_QUERY[Column3],"",2)</f>
        <v/>
      </c>
      <c r="I52" t="str">
        <f>_xlfn.XLOOKUP(ValveModulatingIO[[#This Row],[Tag]] &amp; "*" &amp; "SP",IOL_QUERY[Custom],IOL_QUERY[Column3],"",2)</f>
        <v>PICV-CLW-005_SP</v>
      </c>
    </row>
    <row r="53" spans="1:9" x14ac:dyDescent="0.3">
      <c r="A53" t="s">
        <v>2252</v>
      </c>
      <c r="H53" t="str">
        <f>_xlfn.XLOOKUP(ValveModulatingIO[[#This Row],[Tag]] &amp; "*" &amp; "FB",IOL_QUERY[Custom],IOL_QUERY[Column3],"",2)</f>
        <v/>
      </c>
      <c r="I53" t="str">
        <f>_xlfn.XLOOKUP(ValveModulatingIO[[#This Row],[Tag]] &amp; "*" &amp; "SP",IOL_QUERY[Custom],IOL_QUERY[Column3],"",2)</f>
        <v>PICV-CLW-011_SP</v>
      </c>
    </row>
  </sheetData>
  <conditionalFormatting sqref="A2:A53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4829F-F162-48CA-880F-67682B59FBE6}">
  <sheetPr codeName="Sheet31"/>
  <dimension ref="A1:I1"/>
  <sheetViews>
    <sheetView workbookViewId="0">
      <selection activeCell="I9" sqref="I9"/>
    </sheetView>
  </sheetViews>
  <sheetFormatPr defaultRowHeight="16.5" x14ac:dyDescent="0.3"/>
  <cols>
    <col min="1" max="1" width="19.375" bestFit="1" customWidth="1"/>
    <col min="2" max="2" width="22.375" bestFit="1" customWidth="1"/>
    <col min="3" max="3" width="14.875" bestFit="1" customWidth="1"/>
    <col min="4" max="4" width="18.125" bestFit="1" customWidth="1"/>
    <col min="5" max="5" width="22.375" bestFit="1" customWidth="1"/>
    <col min="6" max="6" width="7.125" bestFit="1" customWidth="1"/>
    <col min="7" max="7" width="11.375" bestFit="1" customWidth="1"/>
    <col min="8" max="8" width="29.25" bestFit="1" customWidth="1"/>
    <col min="9" max="9" width="24.375" bestFit="1" customWidth="1"/>
  </cols>
  <sheetData>
    <row r="1" spans="1:9" x14ac:dyDescent="0.3">
      <c r="A1" t="s">
        <v>2</v>
      </c>
      <c r="B1" t="s">
        <v>10</v>
      </c>
      <c r="C1" t="s">
        <v>11</v>
      </c>
      <c r="D1" t="s">
        <v>12</v>
      </c>
      <c r="E1" t="s">
        <v>425</v>
      </c>
      <c r="F1" t="s">
        <v>426</v>
      </c>
      <c r="G1" t="s">
        <v>427</v>
      </c>
      <c r="H1" t="s">
        <v>14</v>
      </c>
      <c r="I1" t="s">
        <v>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4EDA-DBA5-4C3E-B337-822B7AB502D1}">
  <sheetPr codeName="Sheet26"/>
  <dimension ref="A1:P229"/>
  <sheetViews>
    <sheetView workbookViewId="0">
      <selection activeCell="E22" sqref="E22"/>
    </sheetView>
  </sheetViews>
  <sheetFormatPr defaultRowHeight="16.5" x14ac:dyDescent="0.3"/>
  <cols>
    <col min="1" max="2" width="11" bestFit="1" customWidth="1"/>
    <col min="3" max="4" width="25.875" bestFit="1" customWidth="1"/>
    <col min="5" max="5" width="44.625" bestFit="1" customWidth="1"/>
    <col min="6" max="7" width="11" bestFit="1" customWidth="1"/>
    <col min="8" max="8" width="19.25" bestFit="1" customWidth="1"/>
    <col min="9" max="9" width="11.625" bestFit="1" customWidth="1"/>
    <col min="10" max="10" width="11" bestFit="1" customWidth="1"/>
    <col min="11" max="14" width="12.125" bestFit="1" customWidth="1"/>
    <col min="15" max="15" width="19" bestFit="1" customWidth="1"/>
    <col min="16" max="16" width="12.125" customWidth="1"/>
    <col min="17" max="17" width="6.5" bestFit="1" customWidth="1"/>
    <col min="18" max="18" width="10.125" bestFit="1" customWidth="1"/>
    <col min="19" max="19" width="29.25" bestFit="1" customWidth="1"/>
    <col min="20" max="20" width="11.5" bestFit="1" customWidth="1"/>
    <col min="21" max="21" width="10.25" bestFit="1" customWidth="1"/>
    <col min="22" max="22" width="8.75" bestFit="1" customWidth="1"/>
    <col min="24" max="24" width="10.625" bestFit="1" customWidth="1"/>
    <col min="25" max="25" width="8.875" bestFit="1" customWidth="1"/>
    <col min="26" max="26" width="13.25" bestFit="1" customWidth="1"/>
    <col min="27" max="27" width="44.375" bestFit="1" customWidth="1"/>
  </cols>
  <sheetData>
    <row r="1" spans="1:16" x14ac:dyDescent="0.3">
      <c r="A1" t="s">
        <v>1</v>
      </c>
      <c r="B1" t="s">
        <v>16</v>
      </c>
      <c r="C1" t="s">
        <v>197</v>
      </c>
      <c r="D1" t="s">
        <v>195</v>
      </c>
      <c r="E1" t="s">
        <v>199</v>
      </c>
      <c r="F1" t="s">
        <v>201</v>
      </c>
      <c r="G1" t="s">
        <v>544</v>
      </c>
      <c r="H1" t="s">
        <v>545</v>
      </c>
      <c r="I1" t="s">
        <v>546</v>
      </c>
      <c r="J1" t="s">
        <v>2695</v>
      </c>
      <c r="K1" t="s">
        <v>2696</v>
      </c>
      <c r="L1" t="s">
        <v>2697</v>
      </c>
      <c r="M1" t="s">
        <v>2698</v>
      </c>
      <c r="N1" t="s">
        <v>2699</v>
      </c>
      <c r="O1" t="s">
        <v>2700</v>
      </c>
      <c r="P1" t="s">
        <v>2701</v>
      </c>
    </row>
    <row r="2" spans="1:16" x14ac:dyDescent="0.3">
      <c r="A2">
        <v>3</v>
      </c>
      <c r="B2" t="s">
        <v>274</v>
      </c>
      <c r="C2" t="s">
        <v>2702</v>
      </c>
      <c r="D2" t="s">
        <v>2702</v>
      </c>
      <c r="E2" t="s">
        <v>2703</v>
      </c>
      <c r="F2" t="s">
        <v>275</v>
      </c>
      <c r="G2" t="s">
        <v>2704</v>
      </c>
      <c r="H2" t="s">
        <v>2705</v>
      </c>
      <c r="I2" t="s">
        <v>2706</v>
      </c>
    </row>
    <row r="3" spans="1:16" x14ac:dyDescent="0.3">
      <c r="A3">
        <v>3</v>
      </c>
      <c r="B3" t="s">
        <v>276</v>
      </c>
      <c r="C3" t="s">
        <v>2707</v>
      </c>
      <c r="D3" t="s">
        <v>2707</v>
      </c>
      <c r="E3" t="s">
        <v>2708</v>
      </c>
      <c r="F3" t="s">
        <v>277</v>
      </c>
      <c r="G3" t="s">
        <v>2704</v>
      </c>
      <c r="H3" t="s">
        <v>2705</v>
      </c>
      <c r="I3" t="s">
        <v>2706</v>
      </c>
    </row>
    <row r="4" spans="1:16" x14ac:dyDescent="0.3">
      <c r="A4">
        <v>3</v>
      </c>
      <c r="B4" t="s">
        <v>278</v>
      </c>
      <c r="C4" t="s">
        <v>2709</v>
      </c>
      <c r="D4" t="s">
        <v>2709</v>
      </c>
      <c r="E4" t="s">
        <v>2710</v>
      </c>
      <c r="F4" t="s">
        <v>279</v>
      </c>
      <c r="G4" t="s">
        <v>2704</v>
      </c>
      <c r="H4" t="s">
        <v>2705</v>
      </c>
      <c r="I4" t="s">
        <v>2706</v>
      </c>
    </row>
    <row r="5" spans="1:16" x14ac:dyDescent="0.3">
      <c r="A5">
        <v>3</v>
      </c>
      <c r="B5" t="s">
        <v>280</v>
      </c>
      <c r="C5" t="s">
        <v>2711</v>
      </c>
      <c r="D5" t="s">
        <v>2711</v>
      </c>
      <c r="E5" t="s">
        <v>2712</v>
      </c>
      <c r="F5" t="s">
        <v>281</v>
      </c>
      <c r="G5" t="s">
        <v>2704</v>
      </c>
      <c r="H5" t="s">
        <v>2705</v>
      </c>
      <c r="I5" t="s">
        <v>2706</v>
      </c>
    </row>
    <row r="6" spans="1:16" x14ac:dyDescent="0.3">
      <c r="A6">
        <v>3</v>
      </c>
      <c r="B6" t="s">
        <v>282</v>
      </c>
      <c r="C6" t="s">
        <v>2713</v>
      </c>
      <c r="D6" t="s">
        <v>2713</v>
      </c>
      <c r="E6" t="s">
        <v>2714</v>
      </c>
      <c r="F6" t="s">
        <v>283</v>
      </c>
      <c r="G6" t="s">
        <v>2704</v>
      </c>
      <c r="H6" t="s">
        <v>2715</v>
      </c>
      <c r="I6" t="s">
        <v>2706</v>
      </c>
    </row>
    <row r="7" spans="1:16" x14ac:dyDescent="0.3">
      <c r="A7">
        <v>3</v>
      </c>
      <c r="B7" t="s">
        <v>284</v>
      </c>
      <c r="C7" t="s">
        <v>2716</v>
      </c>
      <c r="D7" t="s">
        <v>2716</v>
      </c>
      <c r="E7" t="s">
        <v>2716</v>
      </c>
      <c r="F7" t="s">
        <v>285</v>
      </c>
      <c r="G7" t="s">
        <v>2704</v>
      </c>
      <c r="H7" t="s">
        <v>2717</v>
      </c>
      <c r="I7" t="s">
        <v>2717</v>
      </c>
    </row>
    <row r="8" spans="1:16" x14ac:dyDescent="0.3">
      <c r="A8">
        <v>3</v>
      </c>
      <c r="B8" t="s">
        <v>286</v>
      </c>
      <c r="C8" t="s">
        <v>2716</v>
      </c>
      <c r="D8" t="s">
        <v>2716</v>
      </c>
      <c r="E8" t="s">
        <v>2716</v>
      </c>
      <c r="F8" t="s">
        <v>287</v>
      </c>
      <c r="G8" t="s">
        <v>2704</v>
      </c>
      <c r="H8" t="s">
        <v>2717</v>
      </c>
      <c r="I8" t="s">
        <v>2717</v>
      </c>
    </row>
    <row r="9" spans="1:16" x14ac:dyDescent="0.3">
      <c r="A9">
        <v>3</v>
      </c>
      <c r="B9" t="s">
        <v>288</v>
      </c>
      <c r="C9" t="s">
        <v>2716</v>
      </c>
      <c r="D9" t="s">
        <v>2716</v>
      </c>
      <c r="E9" t="s">
        <v>2716</v>
      </c>
      <c r="F9" t="s">
        <v>289</v>
      </c>
      <c r="G9" t="s">
        <v>2704</v>
      </c>
      <c r="H9" t="s">
        <v>2717</v>
      </c>
      <c r="I9" t="s">
        <v>2717</v>
      </c>
    </row>
    <row r="10" spans="1:16" x14ac:dyDescent="0.3">
      <c r="A10">
        <v>3</v>
      </c>
      <c r="B10" t="s">
        <v>290</v>
      </c>
      <c r="C10" t="s">
        <v>1468</v>
      </c>
      <c r="D10" t="s">
        <v>2296</v>
      </c>
      <c r="E10" t="s">
        <v>2718</v>
      </c>
      <c r="F10" t="s">
        <v>291</v>
      </c>
      <c r="G10" t="s">
        <v>2704</v>
      </c>
      <c r="H10" t="s">
        <v>2719</v>
      </c>
      <c r="I10" t="s">
        <v>2706</v>
      </c>
      <c r="N10" t="s">
        <v>2720</v>
      </c>
      <c r="O10" t="s">
        <v>2721</v>
      </c>
      <c r="P10">
        <v>44382</v>
      </c>
    </row>
    <row r="11" spans="1:16" x14ac:dyDescent="0.3">
      <c r="A11">
        <v>3</v>
      </c>
      <c r="B11" t="s">
        <v>292</v>
      </c>
      <c r="C11" t="s">
        <v>1467</v>
      </c>
      <c r="D11" t="s">
        <v>2292</v>
      </c>
      <c r="E11" t="s">
        <v>2722</v>
      </c>
      <c r="F11" t="s">
        <v>293</v>
      </c>
      <c r="G11" t="s">
        <v>2704</v>
      </c>
      <c r="H11" t="s">
        <v>2723</v>
      </c>
      <c r="I11" t="s">
        <v>2706</v>
      </c>
    </row>
    <row r="12" spans="1:16" x14ac:dyDescent="0.3">
      <c r="A12">
        <v>3</v>
      </c>
      <c r="B12" t="s">
        <v>294</v>
      </c>
      <c r="C12" t="s">
        <v>1471</v>
      </c>
      <c r="D12" t="s">
        <v>2324</v>
      </c>
      <c r="E12" t="s">
        <v>2724</v>
      </c>
      <c r="F12" t="s">
        <v>295</v>
      </c>
      <c r="G12" t="s">
        <v>2704</v>
      </c>
      <c r="H12" t="s">
        <v>2725</v>
      </c>
      <c r="I12" t="s">
        <v>2706</v>
      </c>
    </row>
    <row r="13" spans="1:16" x14ac:dyDescent="0.3">
      <c r="A13">
        <v>3</v>
      </c>
      <c r="B13" t="s">
        <v>296</v>
      </c>
      <c r="C13" t="s">
        <v>1470</v>
      </c>
      <c r="D13" t="s">
        <v>2304</v>
      </c>
      <c r="E13" t="s">
        <v>2726</v>
      </c>
      <c r="F13" t="s">
        <v>297</v>
      </c>
      <c r="G13" t="s">
        <v>2704</v>
      </c>
      <c r="H13" t="s">
        <v>2719</v>
      </c>
      <c r="I13" t="s">
        <v>2706</v>
      </c>
      <c r="N13" t="s">
        <v>2720</v>
      </c>
      <c r="O13" t="s">
        <v>2721</v>
      </c>
      <c r="P13">
        <v>44382</v>
      </c>
    </row>
    <row r="14" spans="1:16" x14ac:dyDescent="0.3">
      <c r="A14">
        <v>3</v>
      </c>
      <c r="B14" t="s">
        <v>298</v>
      </c>
      <c r="C14" t="s">
        <v>1469</v>
      </c>
      <c r="D14" t="s">
        <v>2300</v>
      </c>
      <c r="E14" t="s">
        <v>2722</v>
      </c>
      <c r="F14" t="s">
        <v>299</v>
      </c>
      <c r="G14" t="s">
        <v>2704</v>
      </c>
      <c r="H14" t="s">
        <v>2723</v>
      </c>
      <c r="I14" t="s">
        <v>2706</v>
      </c>
    </row>
    <row r="15" spans="1:16" x14ac:dyDescent="0.3">
      <c r="A15">
        <v>3</v>
      </c>
      <c r="B15" t="s">
        <v>300</v>
      </c>
      <c r="C15" t="s">
        <v>983</v>
      </c>
      <c r="D15" t="s">
        <v>2328</v>
      </c>
      <c r="E15" t="s">
        <v>2727</v>
      </c>
      <c r="F15" t="s">
        <v>301</v>
      </c>
      <c r="G15" t="s">
        <v>2704</v>
      </c>
      <c r="H15" t="s">
        <v>2717</v>
      </c>
      <c r="I15" t="s">
        <v>2717</v>
      </c>
      <c r="N15" t="s">
        <v>2720</v>
      </c>
      <c r="O15" t="s">
        <v>2721</v>
      </c>
      <c r="P15">
        <v>44382</v>
      </c>
    </row>
    <row r="16" spans="1:16" x14ac:dyDescent="0.3">
      <c r="A16">
        <v>3</v>
      </c>
      <c r="B16" t="s">
        <v>302</v>
      </c>
      <c r="C16" t="s">
        <v>985</v>
      </c>
      <c r="D16" t="s">
        <v>2332</v>
      </c>
      <c r="E16" t="s">
        <v>2728</v>
      </c>
      <c r="F16" t="s">
        <v>303</v>
      </c>
      <c r="G16" t="s">
        <v>2704</v>
      </c>
      <c r="H16" t="s">
        <v>2717</v>
      </c>
      <c r="I16" t="s">
        <v>2717</v>
      </c>
      <c r="N16" t="s">
        <v>2720</v>
      </c>
      <c r="O16" t="s">
        <v>2721</v>
      </c>
      <c r="P16">
        <v>44382</v>
      </c>
    </row>
    <row r="17" spans="1:16" x14ac:dyDescent="0.3">
      <c r="A17">
        <v>3</v>
      </c>
      <c r="B17" t="s">
        <v>304</v>
      </c>
      <c r="C17" t="s">
        <v>986</v>
      </c>
      <c r="D17" t="s">
        <v>2336</v>
      </c>
      <c r="E17" t="s">
        <v>2729</v>
      </c>
      <c r="F17" t="s">
        <v>305</v>
      </c>
      <c r="G17" t="s">
        <v>2704</v>
      </c>
      <c r="H17" t="s">
        <v>2717</v>
      </c>
      <c r="I17" t="s">
        <v>2717</v>
      </c>
      <c r="N17" t="s">
        <v>2720</v>
      </c>
      <c r="O17" t="s">
        <v>2721</v>
      </c>
      <c r="P17">
        <v>44382</v>
      </c>
    </row>
    <row r="18" spans="1:16" x14ac:dyDescent="0.3">
      <c r="A18">
        <v>4</v>
      </c>
      <c r="B18" t="s">
        <v>274</v>
      </c>
      <c r="C18" t="s">
        <v>979</v>
      </c>
      <c r="D18" t="s">
        <v>2312</v>
      </c>
      <c r="E18" t="s">
        <v>2730</v>
      </c>
      <c r="F18" t="s">
        <v>306</v>
      </c>
      <c r="G18" t="s">
        <v>2704</v>
      </c>
      <c r="H18" t="s">
        <v>2731</v>
      </c>
      <c r="I18" t="s">
        <v>2706</v>
      </c>
      <c r="N18" t="s">
        <v>2720</v>
      </c>
      <c r="O18" t="s">
        <v>2721</v>
      </c>
      <c r="P18">
        <v>44382</v>
      </c>
    </row>
    <row r="19" spans="1:16" x14ac:dyDescent="0.3">
      <c r="A19">
        <v>4</v>
      </c>
      <c r="B19" t="s">
        <v>276</v>
      </c>
      <c r="C19" t="s">
        <v>978</v>
      </c>
      <c r="D19" t="s">
        <v>2308</v>
      </c>
      <c r="E19" t="s">
        <v>2732</v>
      </c>
      <c r="F19" t="s">
        <v>307</v>
      </c>
      <c r="G19" t="s">
        <v>2704</v>
      </c>
      <c r="H19" t="s">
        <v>2719</v>
      </c>
      <c r="I19" t="s">
        <v>2706</v>
      </c>
      <c r="N19" t="s">
        <v>2720</v>
      </c>
      <c r="O19" t="s">
        <v>2721</v>
      </c>
      <c r="P19">
        <v>44382</v>
      </c>
    </row>
    <row r="20" spans="1:16" x14ac:dyDescent="0.3">
      <c r="A20">
        <v>4</v>
      </c>
      <c r="B20" t="s">
        <v>278</v>
      </c>
      <c r="C20" t="s">
        <v>981</v>
      </c>
      <c r="D20" t="s">
        <v>2320</v>
      </c>
      <c r="E20" t="s">
        <v>2733</v>
      </c>
      <c r="F20" t="s">
        <v>308</v>
      </c>
      <c r="G20" t="s">
        <v>2704</v>
      </c>
      <c r="H20" t="s">
        <v>2731</v>
      </c>
      <c r="I20" t="s">
        <v>2706</v>
      </c>
      <c r="N20" t="s">
        <v>2720</v>
      </c>
      <c r="O20" t="s">
        <v>2721</v>
      </c>
      <c r="P20">
        <v>44382</v>
      </c>
    </row>
    <row r="21" spans="1:16" x14ac:dyDescent="0.3">
      <c r="A21">
        <v>4</v>
      </c>
      <c r="B21" t="s">
        <v>280</v>
      </c>
      <c r="C21" t="s">
        <v>980</v>
      </c>
      <c r="D21" t="s">
        <v>2316</v>
      </c>
      <c r="E21" t="s">
        <v>2734</v>
      </c>
      <c r="F21" t="s">
        <v>309</v>
      </c>
      <c r="G21" t="s">
        <v>2704</v>
      </c>
      <c r="H21" t="s">
        <v>2719</v>
      </c>
      <c r="I21" t="s">
        <v>2706</v>
      </c>
      <c r="N21" t="s">
        <v>2720</v>
      </c>
      <c r="O21" t="s">
        <v>2721</v>
      </c>
      <c r="P21">
        <v>44382</v>
      </c>
    </row>
    <row r="22" spans="1:16" x14ac:dyDescent="0.3">
      <c r="A22">
        <v>4</v>
      </c>
      <c r="B22" t="s">
        <v>282</v>
      </c>
      <c r="C22" t="s">
        <v>2735</v>
      </c>
      <c r="D22" t="s">
        <v>3036</v>
      </c>
      <c r="E22" t="s">
        <v>2736</v>
      </c>
      <c r="F22" t="s">
        <v>310</v>
      </c>
      <c r="G22" t="s">
        <v>2704</v>
      </c>
      <c r="H22" t="s">
        <v>2737</v>
      </c>
      <c r="I22" t="s">
        <v>2706</v>
      </c>
      <c r="N22" t="s">
        <v>2720</v>
      </c>
      <c r="O22" t="s">
        <v>2721</v>
      </c>
      <c r="P22">
        <v>44382</v>
      </c>
    </row>
    <row r="23" spans="1:16" x14ac:dyDescent="0.3">
      <c r="A23">
        <v>4</v>
      </c>
      <c r="B23" t="s">
        <v>284</v>
      </c>
      <c r="C23" t="s">
        <v>2738</v>
      </c>
      <c r="D23" t="s">
        <v>3037</v>
      </c>
      <c r="E23" t="s">
        <v>2739</v>
      </c>
      <c r="F23" t="s">
        <v>311</v>
      </c>
      <c r="G23" t="s">
        <v>2704</v>
      </c>
      <c r="H23" t="s">
        <v>2740</v>
      </c>
      <c r="I23" t="s">
        <v>2706</v>
      </c>
      <c r="N23" t="s">
        <v>2720</v>
      </c>
      <c r="O23" t="s">
        <v>2721</v>
      </c>
      <c r="P23">
        <v>44382</v>
      </c>
    </row>
    <row r="24" spans="1:16" x14ac:dyDescent="0.3">
      <c r="A24">
        <v>4</v>
      </c>
      <c r="B24" t="s">
        <v>286</v>
      </c>
      <c r="C24" t="s">
        <v>2741</v>
      </c>
      <c r="D24" t="s">
        <v>3038</v>
      </c>
      <c r="E24" t="s">
        <v>2742</v>
      </c>
      <c r="F24" t="s">
        <v>312</v>
      </c>
      <c r="G24" t="s">
        <v>2704</v>
      </c>
      <c r="H24" t="s">
        <v>2737</v>
      </c>
      <c r="I24" t="s">
        <v>2706</v>
      </c>
      <c r="N24" t="s">
        <v>2720</v>
      </c>
      <c r="O24" t="s">
        <v>2721</v>
      </c>
      <c r="P24">
        <v>44382</v>
      </c>
    </row>
    <row r="25" spans="1:16" x14ac:dyDescent="0.3">
      <c r="A25">
        <v>4</v>
      </c>
      <c r="B25" t="s">
        <v>288</v>
      </c>
      <c r="C25" t="s">
        <v>2743</v>
      </c>
      <c r="D25" t="s">
        <v>3039</v>
      </c>
      <c r="E25" t="s">
        <v>2744</v>
      </c>
      <c r="F25" t="s">
        <v>313</v>
      </c>
      <c r="G25" t="s">
        <v>2704</v>
      </c>
      <c r="H25" t="s">
        <v>2740</v>
      </c>
      <c r="I25" t="s">
        <v>2706</v>
      </c>
      <c r="N25" t="s">
        <v>2720</v>
      </c>
      <c r="O25" t="s">
        <v>2721</v>
      </c>
      <c r="P25">
        <v>44382</v>
      </c>
    </row>
    <row r="26" spans="1:16" x14ac:dyDescent="0.3">
      <c r="A26">
        <v>4</v>
      </c>
      <c r="B26" t="s">
        <v>290</v>
      </c>
      <c r="C26" t="s">
        <v>2745</v>
      </c>
      <c r="D26" t="s">
        <v>3040</v>
      </c>
      <c r="E26" t="s">
        <v>2736</v>
      </c>
      <c r="F26" t="s">
        <v>314</v>
      </c>
      <c r="G26" t="s">
        <v>2704</v>
      </c>
      <c r="H26" t="s">
        <v>2737</v>
      </c>
      <c r="I26" t="s">
        <v>2706</v>
      </c>
      <c r="N26" t="s">
        <v>2720</v>
      </c>
      <c r="O26" t="s">
        <v>2721</v>
      </c>
      <c r="P26">
        <v>44382</v>
      </c>
    </row>
    <row r="27" spans="1:16" x14ac:dyDescent="0.3">
      <c r="A27">
        <v>4</v>
      </c>
      <c r="B27" t="s">
        <v>292</v>
      </c>
      <c r="C27" t="s">
        <v>2746</v>
      </c>
      <c r="D27" t="s">
        <v>3041</v>
      </c>
      <c r="E27" t="s">
        <v>2739</v>
      </c>
      <c r="F27" t="s">
        <v>315</v>
      </c>
      <c r="G27" t="s">
        <v>2704</v>
      </c>
      <c r="H27" t="s">
        <v>2740</v>
      </c>
      <c r="I27" t="s">
        <v>2706</v>
      </c>
      <c r="N27" t="s">
        <v>2720</v>
      </c>
      <c r="O27" t="s">
        <v>2721</v>
      </c>
      <c r="P27">
        <v>44382</v>
      </c>
    </row>
    <row r="28" spans="1:16" x14ac:dyDescent="0.3">
      <c r="A28">
        <v>4</v>
      </c>
      <c r="B28" t="s">
        <v>294</v>
      </c>
      <c r="C28" t="s">
        <v>2747</v>
      </c>
      <c r="D28" t="s">
        <v>3042</v>
      </c>
      <c r="E28" t="s">
        <v>2742</v>
      </c>
      <c r="F28" t="s">
        <v>316</v>
      </c>
      <c r="G28" t="s">
        <v>2704</v>
      </c>
      <c r="H28" t="s">
        <v>2737</v>
      </c>
      <c r="I28" t="s">
        <v>2706</v>
      </c>
      <c r="N28" t="s">
        <v>2720</v>
      </c>
      <c r="O28" t="s">
        <v>2721</v>
      </c>
      <c r="P28">
        <v>44382</v>
      </c>
    </row>
    <row r="29" spans="1:16" x14ac:dyDescent="0.3">
      <c r="A29">
        <v>4</v>
      </c>
      <c r="B29" t="s">
        <v>296</v>
      </c>
      <c r="C29" t="s">
        <v>2748</v>
      </c>
      <c r="D29" t="s">
        <v>3043</v>
      </c>
      <c r="E29" t="s">
        <v>2744</v>
      </c>
      <c r="F29" t="s">
        <v>317</v>
      </c>
      <c r="G29" t="s">
        <v>2704</v>
      </c>
      <c r="H29" t="s">
        <v>2740</v>
      </c>
      <c r="I29" t="s">
        <v>2706</v>
      </c>
      <c r="N29" t="s">
        <v>2720</v>
      </c>
      <c r="O29" t="s">
        <v>2721</v>
      </c>
      <c r="P29">
        <v>44382</v>
      </c>
    </row>
    <row r="30" spans="1:16" x14ac:dyDescent="0.3">
      <c r="A30">
        <v>4</v>
      </c>
      <c r="B30" t="s">
        <v>298</v>
      </c>
      <c r="C30" t="s">
        <v>2749</v>
      </c>
      <c r="D30" t="s">
        <v>3044</v>
      </c>
      <c r="E30" t="s">
        <v>2736</v>
      </c>
      <c r="F30" t="s">
        <v>318</v>
      </c>
      <c r="G30" t="s">
        <v>2704</v>
      </c>
      <c r="H30" t="s">
        <v>2737</v>
      </c>
      <c r="I30" t="s">
        <v>2706</v>
      </c>
      <c r="N30" t="s">
        <v>2720</v>
      </c>
      <c r="O30" t="s">
        <v>2721</v>
      </c>
      <c r="P30">
        <v>44382</v>
      </c>
    </row>
    <row r="31" spans="1:16" x14ac:dyDescent="0.3">
      <c r="A31">
        <v>4</v>
      </c>
      <c r="B31" t="s">
        <v>300</v>
      </c>
      <c r="C31" t="s">
        <v>2750</v>
      </c>
      <c r="D31" t="s">
        <v>3045</v>
      </c>
      <c r="E31" t="s">
        <v>2739</v>
      </c>
      <c r="F31" t="s">
        <v>319</v>
      </c>
      <c r="G31" t="s">
        <v>2704</v>
      </c>
      <c r="H31" t="s">
        <v>2740</v>
      </c>
      <c r="I31" t="s">
        <v>2706</v>
      </c>
      <c r="N31" t="s">
        <v>2720</v>
      </c>
      <c r="O31" t="s">
        <v>2721</v>
      </c>
      <c r="P31">
        <v>44382</v>
      </c>
    </row>
    <row r="32" spans="1:16" x14ac:dyDescent="0.3">
      <c r="A32">
        <v>4</v>
      </c>
      <c r="B32" t="s">
        <v>302</v>
      </c>
      <c r="C32" t="s">
        <v>2751</v>
      </c>
      <c r="D32" t="s">
        <v>3046</v>
      </c>
      <c r="E32" t="s">
        <v>2742</v>
      </c>
      <c r="F32" t="s">
        <v>320</v>
      </c>
      <c r="G32" t="s">
        <v>2704</v>
      </c>
      <c r="H32" t="s">
        <v>2737</v>
      </c>
      <c r="I32" t="s">
        <v>2706</v>
      </c>
      <c r="N32" t="s">
        <v>2720</v>
      </c>
      <c r="O32" t="s">
        <v>2721</v>
      </c>
      <c r="P32">
        <v>44382</v>
      </c>
    </row>
    <row r="33" spans="1:16" x14ac:dyDescent="0.3">
      <c r="A33">
        <v>4</v>
      </c>
      <c r="B33" t="s">
        <v>304</v>
      </c>
      <c r="C33" t="s">
        <v>2752</v>
      </c>
      <c r="D33" t="s">
        <v>3047</v>
      </c>
      <c r="E33" t="s">
        <v>2744</v>
      </c>
      <c r="F33" t="s">
        <v>321</v>
      </c>
      <c r="G33" t="s">
        <v>2704</v>
      </c>
      <c r="H33" t="s">
        <v>2740</v>
      </c>
      <c r="I33" t="s">
        <v>2706</v>
      </c>
      <c r="N33" t="s">
        <v>2720</v>
      </c>
      <c r="O33" t="s">
        <v>2721</v>
      </c>
      <c r="P33">
        <v>44382</v>
      </c>
    </row>
    <row r="34" spans="1:16" x14ac:dyDescent="0.3">
      <c r="A34">
        <v>5</v>
      </c>
      <c r="B34" t="s">
        <v>274</v>
      </c>
      <c r="C34" t="s">
        <v>2753</v>
      </c>
      <c r="D34" t="s">
        <v>3048</v>
      </c>
      <c r="E34" t="s">
        <v>2754</v>
      </c>
      <c r="F34" t="s">
        <v>322</v>
      </c>
      <c r="G34" t="s">
        <v>2704</v>
      </c>
      <c r="H34" t="s">
        <v>2705</v>
      </c>
      <c r="I34" t="s">
        <v>2706</v>
      </c>
    </row>
    <row r="35" spans="1:16" x14ac:dyDescent="0.3">
      <c r="A35">
        <v>5</v>
      </c>
      <c r="B35" t="s">
        <v>276</v>
      </c>
      <c r="C35" t="s">
        <v>2755</v>
      </c>
      <c r="D35" t="s">
        <v>3049</v>
      </c>
      <c r="E35" t="s">
        <v>2756</v>
      </c>
      <c r="F35" t="s">
        <v>323</v>
      </c>
      <c r="G35" t="s">
        <v>2704</v>
      </c>
      <c r="H35" t="s">
        <v>2705</v>
      </c>
      <c r="I35" t="s">
        <v>2706</v>
      </c>
    </row>
    <row r="36" spans="1:16" x14ac:dyDescent="0.3">
      <c r="A36">
        <v>5</v>
      </c>
      <c r="B36" t="s">
        <v>278</v>
      </c>
      <c r="C36" t="s">
        <v>2757</v>
      </c>
      <c r="D36" t="s">
        <v>3050</v>
      </c>
      <c r="E36" t="s">
        <v>2754</v>
      </c>
      <c r="F36" t="s">
        <v>324</v>
      </c>
      <c r="G36" t="s">
        <v>2704</v>
      </c>
      <c r="H36" t="s">
        <v>2705</v>
      </c>
      <c r="I36" t="s">
        <v>2706</v>
      </c>
    </row>
    <row r="37" spans="1:16" x14ac:dyDescent="0.3">
      <c r="A37">
        <v>5</v>
      </c>
      <c r="B37" t="s">
        <v>280</v>
      </c>
      <c r="C37" t="s">
        <v>2758</v>
      </c>
      <c r="D37" t="s">
        <v>3051</v>
      </c>
      <c r="E37" t="s">
        <v>2756</v>
      </c>
      <c r="F37" t="s">
        <v>325</v>
      </c>
      <c r="G37" t="s">
        <v>2704</v>
      </c>
      <c r="H37" t="s">
        <v>2705</v>
      </c>
      <c r="I37" t="s">
        <v>2706</v>
      </c>
    </row>
    <row r="38" spans="1:16" x14ac:dyDescent="0.3">
      <c r="A38">
        <v>5</v>
      </c>
      <c r="B38" t="s">
        <v>282</v>
      </c>
      <c r="C38" t="s">
        <v>2759</v>
      </c>
      <c r="D38" t="s">
        <v>3052</v>
      </c>
      <c r="E38" t="s">
        <v>2760</v>
      </c>
      <c r="F38" t="s">
        <v>326</v>
      </c>
      <c r="G38" t="s">
        <v>2704</v>
      </c>
      <c r="H38" t="s">
        <v>2705</v>
      </c>
      <c r="I38" t="s">
        <v>2706</v>
      </c>
    </row>
    <row r="39" spans="1:16" x14ac:dyDescent="0.3">
      <c r="A39">
        <v>5</v>
      </c>
      <c r="B39" t="s">
        <v>284</v>
      </c>
      <c r="C39" t="s">
        <v>2761</v>
      </c>
      <c r="D39" t="s">
        <v>3053</v>
      </c>
      <c r="E39" t="s">
        <v>2756</v>
      </c>
      <c r="F39" t="s">
        <v>327</v>
      </c>
      <c r="G39" t="s">
        <v>2704</v>
      </c>
      <c r="H39" t="s">
        <v>2705</v>
      </c>
      <c r="I39" t="s">
        <v>2706</v>
      </c>
    </row>
    <row r="40" spans="1:16" x14ac:dyDescent="0.3">
      <c r="A40">
        <v>5</v>
      </c>
      <c r="B40" t="s">
        <v>286</v>
      </c>
      <c r="C40" t="s">
        <v>2762</v>
      </c>
      <c r="D40" t="s">
        <v>3054</v>
      </c>
      <c r="E40" t="s">
        <v>2760</v>
      </c>
      <c r="F40" t="s">
        <v>328</v>
      </c>
      <c r="G40" t="s">
        <v>2704</v>
      </c>
      <c r="H40" t="s">
        <v>2705</v>
      </c>
      <c r="I40" t="s">
        <v>2706</v>
      </c>
    </row>
    <row r="41" spans="1:16" x14ac:dyDescent="0.3">
      <c r="A41">
        <v>5</v>
      </c>
      <c r="B41" t="s">
        <v>288</v>
      </c>
      <c r="C41" t="s">
        <v>2763</v>
      </c>
      <c r="D41" t="s">
        <v>3055</v>
      </c>
      <c r="E41" t="s">
        <v>2756</v>
      </c>
      <c r="F41" t="s">
        <v>329</v>
      </c>
      <c r="G41" t="s">
        <v>2704</v>
      </c>
      <c r="H41" t="s">
        <v>2705</v>
      </c>
      <c r="I41" t="s">
        <v>2706</v>
      </c>
    </row>
    <row r="42" spans="1:16" x14ac:dyDescent="0.3">
      <c r="A42">
        <v>5</v>
      </c>
      <c r="B42" t="s">
        <v>290</v>
      </c>
      <c r="C42" t="s">
        <v>2764</v>
      </c>
      <c r="D42" t="s">
        <v>3056</v>
      </c>
      <c r="E42" t="s">
        <v>2754</v>
      </c>
      <c r="F42" t="s">
        <v>330</v>
      </c>
      <c r="G42" t="s">
        <v>2704</v>
      </c>
      <c r="H42" t="s">
        <v>2705</v>
      </c>
      <c r="I42" t="s">
        <v>2706</v>
      </c>
    </row>
    <row r="43" spans="1:16" x14ac:dyDescent="0.3">
      <c r="A43">
        <v>5</v>
      </c>
      <c r="B43" t="s">
        <v>292</v>
      </c>
      <c r="C43" t="s">
        <v>2765</v>
      </c>
      <c r="D43" t="s">
        <v>3057</v>
      </c>
      <c r="E43" t="s">
        <v>2756</v>
      </c>
      <c r="F43" t="s">
        <v>331</v>
      </c>
      <c r="G43" t="s">
        <v>2704</v>
      </c>
      <c r="H43" t="s">
        <v>2705</v>
      </c>
      <c r="I43" t="s">
        <v>2706</v>
      </c>
    </row>
    <row r="44" spans="1:16" x14ac:dyDescent="0.3">
      <c r="A44">
        <v>5</v>
      </c>
      <c r="B44" t="s">
        <v>294</v>
      </c>
      <c r="C44" t="s">
        <v>2766</v>
      </c>
      <c r="D44" t="s">
        <v>3058</v>
      </c>
      <c r="E44" t="s">
        <v>2760</v>
      </c>
      <c r="F44" t="s">
        <v>332</v>
      </c>
      <c r="G44" t="s">
        <v>2704</v>
      </c>
      <c r="H44" t="s">
        <v>2705</v>
      </c>
      <c r="I44" t="s">
        <v>2706</v>
      </c>
    </row>
    <row r="45" spans="1:16" x14ac:dyDescent="0.3">
      <c r="A45">
        <v>5</v>
      </c>
      <c r="B45" t="s">
        <v>296</v>
      </c>
      <c r="C45" t="s">
        <v>2767</v>
      </c>
      <c r="D45" t="s">
        <v>3059</v>
      </c>
      <c r="E45" t="s">
        <v>2756</v>
      </c>
      <c r="F45" t="s">
        <v>333</v>
      </c>
      <c r="G45" t="s">
        <v>2704</v>
      </c>
      <c r="H45" t="s">
        <v>2705</v>
      </c>
      <c r="I45" t="s">
        <v>2706</v>
      </c>
    </row>
    <row r="46" spans="1:16" x14ac:dyDescent="0.3">
      <c r="A46">
        <v>5</v>
      </c>
      <c r="B46" t="s">
        <v>298</v>
      </c>
      <c r="C46" t="s">
        <v>2768</v>
      </c>
      <c r="D46" t="s">
        <v>3060</v>
      </c>
      <c r="E46" t="s">
        <v>2754</v>
      </c>
      <c r="F46" t="s">
        <v>334</v>
      </c>
      <c r="G46" t="s">
        <v>2704</v>
      </c>
      <c r="H46" t="s">
        <v>2705</v>
      </c>
      <c r="I46" t="s">
        <v>2706</v>
      </c>
      <c r="N46" t="s">
        <v>2720</v>
      </c>
      <c r="O46" t="s">
        <v>2721</v>
      </c>
      <c r="P46">
        <v>44382</v>
      </c>
    </row>
    <row r="47" spans="1:16" x14ac:dyDescent="0.3">
      <c r="A47">
        <v>5</v>
      </c>
      <c r="B47" t="s">
        <v>300</v>
      </c>
      <c r="C47" t="s">
        <v>2769</v>
      </c>
      <c r="D47" t="s">
        <v>3061</v>
      </c>
      <c r="E47" t="s">
        <v>2756</v>
      </c>
      <c r="F47" t="s">
        <v>335</v>
      </c>
      <c r="G47" t="s">
        <v>2704</v>
      </c>
      <c r="H47" t="s">
        <v>2705</v>
      </c>
      <c r="I47" t="s">
        <v>2706</v>
      </c>
      <c r="N47" t="s">
        <v>2720</v>
      </c>
      <c r="O47" t="s">
        <v>2721</v>
      </c>
      <c r="P47">
        <v>44382</v>
      </c>
    </row>
    <row r="48" spans="1:16" x14ac:dyDescent="0.3">
      <c r="A48">
        <v>5</v>
      </c>
      <c r="B48" t="s">
        <v>302</v>
      </c>
      <c r="C48" t="s">
        <v>2770</v>
      </c>
      <c r="D48" t="s">
        <v>3062</v>
      </c>
      <c r="E48" t="s">
        <v>2754</v>
      </c>
      <c r="F48" t="s">
        <v>336</v>
      </c>
      <c r="G48" t="s">
        <v>2704</v>
      </c>
      <c r="H48" t="s">
        <v>2705</v>
      </c>
      <c r="I48" t="s">
        <v>2706</v>
      </c>
      <c r="N48" t="s">
        <v>2720</v>
      </c>
      <c r="O48" t="s">
        <v>2721</v>
      </c>
      <c r="P48">
        <v>44382</v>
      </c>
    </row>
    <row r="49" spans="1:16" x14ac:dyDescent="0.3">
      <c r="A49">
        <v>5</v>
      </c>
      <c r="B49" t="s">
        <v>304</v>
      </c>
      <c r="C49" t="s">
        <v>2771</v>
      </c>
      <c r="D49" t="s">
        <v>3063</v>
      </c>
      <c r="E49" t="s">
        <v>2756</v>
      </c>
      <c r="F49" t="s">
        <v>337</v>
      </c>
      <c r="G49" t="s">
        <v>2704</v>
      </c>
      <c r="H49" t="s">
        <v>2705</v>
      </c>
      <c r="I49" t="s">
        <v>2706</v>
      </c>
      <c r="N49" t="s">
        <v>2720</v>
      </c>
      <c r="O49" t="s">
        <v>2721</v>
      </c>
      <c r="P49">
        <v>44382</v>
      </c>
    </row>
    <row r="50" spans="1:16" x14ac:dyDescent="0.3">
      <c r="A50">
        <v>6</v>
      </c>
      <c r="B50" t="s">
        <v>274</v>
      </c>
      <c r="C50" t="s">
        <v>2772</v>
      </c>
      <c r="D50" t="s">
        <v>3064</v>
      </c>
      <c r="E50" t="s">
        <v>2754</v>
      </c>
      <c r="F50" t="s">
        <v>338</v>
      </c>
      <c r="G50" t="s">
        <v>2704</v>
      </c>
      <c r="H50" t="s">
        <v>2705</v>
      </c>
      <c r="I50" t="s">
        <v>2706</v>
      </c>
      <c r="N50" t="s">
        <v>2720</v>
      </c>
      <c r="O50" t="s">
        <v>2721</v>
      </c>
      <c r="P50">
        <v>44382</v>
      </c>
    </row>
    <row r="51" spans="1:16" x14ac:dyDescent="0.3">
      <c r="A51">
        <v>6</v>
      </c>
      <c r="B51" t="s">
        <v>276</v>
      </c>
      <c r="C51" t="s">
        <v>2773</v>
      </c>
      <c r="D51" t="s">
        <v>3065</v>
      </c>
      <c r="E51" t="s">
        <v>2756</v>
      </c>
      <c r="F51" t="s">
        <v>339</v>
      </c>
      <c r="G51" t="s">
        <v>2704</v>
      </c>
      <c r="H51" t="s">
        <v>2705</v>
      </c>
      <c r="I51" t="s">
        <v>2706</v>
      </c>
      <c r="N51" t="s">
        <v>2720</v>
      </c>
      <c r="O51" t="s">
        <v>2721</v>
      </c>
      <c r="P51">
        <v>44382</v>
      </c>
    </row>
    <row r="52" spans="1:16" x14ac:dyDescent="0.3">
      <c r="A52">
        <v>6</v>
      </c>
      <c r="B52" t="s">
        <v>278</v>
      </c>
      <c r="C52" t="s">
        <v>987</v>
      </c>
      <c r="D52" t="s">
        <v>2340</v>
      </c>
      <c r="E52" t="s">
        <v>2774</v>
      </c>
      <c r="F52" t="s">
        <v>340</v>
      </c>
      <c r="G52" t="s">
        <v>2704</v>
      </c>
      <c r="H52" t="s">
        <v>2705</v>
      </c>
      <c r="I52" t="s">
        <v>2706</v>
      </c>
      <c r="N52" t="s">
        <v>2720</v>
      </c>
      <c r="O52" t="s">
        <v>2721</v>
      </c>
      <c r="P52">
        <v>44382</v>
      </c>
    </row>
    <row r="53" spans="1:16" x14ac:dyDescent="0.3">
      <c r="A53">
        <v>6</v>
      </c>
      <c r="B53" t="s">
        <v>280</v>
      </c>
      <c r="C53" t="s">
        <v>989</v>
      </c>
      <c r="D53" t="s">
        <v>2344</v>
      </c>
      <c r="E53" t="s">
        <v>2775</v>
      </c>
      <c r="F53" t="s">
        <v>341</v>
      </c>
      <c r="G53" t="s">
        <v>2704</v>
      </c>
      <c r="H53" t="s">
        <v>2705</v>
      </c>
      <c r="I53" t="s">
        <v>2706</v>
      </c>
      <c r="N53" t="s">
        <v>2720</v>
      </c>
      <c r="O53" t="s">
        <v>2721</v>
      </c>
      <c r="P53">
        <v>44382</v>
      </c>
    </row>
    <row r="54" spans="1:16" x14ac:dyDescent="0.3">
      <c r="A54">
        <v>6</v>
      </c>
      <c r="B54" t="s">
        <v>282</v>
      </c>
      <c r="C54" t="s">
        <v>991</v>
      </c>
      <c r="D54" t="s">
        <v>2348</v>
      </c>
      <c r="E54" t="s">
        <v>2776</v>
      </c>
      <c r="F54" t="s">
        <v>342</v>
      </c>
      <c r="G54" t="s">
        <v>2704</v>
      </c>
      <c r="H54" t="s">
        <v>2705</v>
      </c>
      <c r="I54" t="s">
        <v>2706</v>
      </c>
      <c r="N54" t="s">
        <v>2720</v>
      </c>
      <c r="O54" t="s">
        <v>2721</v>
      </c>
      <c r="P54">
        <v>44382</v>
      </c>
    </row>
    <row r="55" spans="1:16" x14ac:dyDescent="0.3">
      <c r="A55">
        <v>6</v>
      </c>
      <c r="B55" t="s">
        <v>284</v>
      </c>
      <c r="C55" t="s">
        <v>993</v>
      </c>
      <c r="D55" t="s">
        <v>2352</v>
      </c>
      <c r="E55" t="s">
        <v>2777</v>
      </c>
      <c r="F55" t="s">
        <v>343</v>
      </c>
      <c r="G55" t="s">
        <v>2704</v>
      </c>
      <c r="H55" t="s">
        <v>2705</v>
      </c>
      <c r="I55" t="s">
        <v>2706</v>
      </c>
      <c r="N55" t="s">
        <v>2720</v>
      </c>
      <c r="O55" t="s">
        <v>2721</v>
      </c>
      <c r="P55">
        <v>44382</v>
      </c>
    </row>
    <row r="56" spans="1:16" x14ac:dyDescent="0.3">
      <c r="A56">
        <v>6</v>
      </c>
      <c r="B56" t="s">
        <v>286</v>
      </c>
      <c r="C56" t="s">
        <v>995</v>
      </c>
      <c r="D56" t="s">
        <v>2356</v>
      </c>
      <c r="E56" t="s">
        <v>2778</v>
      </c>
      <c r="F56" t="s">
        <v>344</v>
      </c>
      <c r="G56" t="s">
        <v>2704</v>
      </c>
      <c r="H56" t="s">
        <v>2705</v>
      </c>
      <c r="I56" t="s">
        <v>2706</v>
      </c>
      <c r="N56" t="s">
        <v>2720</v>
      </c>
      <c r="O56" t="s">
        <v>2721</v>
      </c>
      <c r="P56">
        <v>44382</v>
      </c>
    </row>
    <row r="57" spans="1:16" x14ac:dyDescent="0.3">
      <c r="A57">
        <v>6</v>
      </c>
      <c r="B57" t="s">
        <v>288</v>
      </c>
      <c r="C57" t="s">
        <v>997</v>
      </c>
      <c r="D57" t="s">
        <v>2360</v>
      </c>
      <c r="E57" t="s">
        <v>2779</v>
      </c>
      <c r="F57" t="s">
        <v>345</v>
      </c>
      <c r="G57" t="s">
        <v>2704</v>
      </c>
      <c r="H57" t="s">
        <v>2705</v>
      </c>
      <c r="I57" t="s">
        <v>2706</v>
      </c>
      <c r="N57" t="s">
        <v>2720</v>
      </c>
      <c r="O57" t="s">
        <v>2721</v>
      </c>
      <c r="P57">
        <v>44382</v>
      </c>
    </row>
    <row r="58" spans="1:16" x14ac:dyDescent="0.3">
      <c r="A58">
        <v>6</v>
      </c>
      <c r="B58" t="s">
        <v>290</v>
      </c>
      <c r="C58" t="s">
        <v>2780</v>
      </c>
      <c r="D58" t="s">
        <v>3066</v>
      </c>
      <c r="E58" t="s">
        <v>2742</v>
      </c>
      <c r="F58" t="s">
        <v>346</v>
      </c>
      <c r="G58" t="s">
        <v>2704</v>
      </c>
      <c r="H58" t="s">
        <v>2737</v>
      </c>
      <c r="I58" t="s">
        <v>2706</v>
      </c>
    </row>
    <row r="59" spans="1:16" x14ac:dyDescent="0.3">
      <c r="A59">
        <v>6</v>
      </c>
      <c r="B59" t="s">
        <v>292</v>
      </c>
      <c r="C59" t="s">
        <v>2781</v>
      </c>
      <c r="D59" t="s">
        <v>3067</v>
      </c>
      <c r="E59" t="s">
        <v>2744</v>
      </c>
      <c r="F59" t="s">
        <v>347</v>
      </c>
      <c r="G59" t="s">
        <v>2704</v>
      </c>
      <c r="H59" t="s">
        <v>2740</v>
      </c>
      <c r="I59" t="s">
        <v>2706</v>
      </c>
    </row>
    <row r="60" spans="1:16" x14ac:dyDescent="0.3">
      <c r="A60">
        <v>6</v>
      </c>
      <c r="B60" t="s">
        <v>294</v>
      </c>
      <c r="C60" t="s">
        <v>2782</v>
      </c>
      <c r="D60" t="s">
        <v>3068</v>
      </c>
      <c r="E60" t="s">
        <v>2736</v>
      </c>
      <c r="F60" t="s">
        <v>348</v>
      </c>
      <c r="G60" t="s">
        <v>2704</v>
      </c>
      <c r="H60" t="s">
        <v>2737</v>
      </c>
      <c r="I60" t="s">
        <v>2706</v>
      </c>
    </row>
    <row r="61" spans="1:16" x14ac:dyDescent="0.3">
      <c r="A61">
        <v>6</v>
      </c>
      <c r="B61" t="s">
        <v>296</v>
      </c>
      <c r="C61" t="s">
        <v>2783</v>
      </c>
      <c r="D61" t="s">
        <v>3069</v>
      </c>
      <c r="E61" t="s">
        <v>2739</v>
      </c>
      <c r="F61" t="s">
        <v>349</v>
      </c>
      <c r="G61" t="s">
        <v>2704</v>
      </c>
      <c r="H61" t="s">
        <v>2740</v>
      </c>
      <c r="I61" t="s">
        <v>2706</v>
      </c>
    </row>
    <row r="62" spans="1:16" x14ac:dyDescent="0.3">
      <c r="A62">
        <v>6</v>
      </c>
      <c r="B62" t="s">
        <v>298</v>
      </c>
      <c r="C62" t="s">
        <v>2716</v>
      </c>
      <c r="D62" t="s">
        <v>2716</v>
      </c>
      <c r="E62" t="s">
        <v>2716</v>
      </c>
      <c r="F62" t="s">
        <v>350</v>
      </c>
      <c r="G62" t="s">
        <v>2704</v>
      </c>
      <c r="H62" t="s">
        <v>2705</v>
      </c>
      <c r="I62" t="s">
        <v>2706</v>
      </c>
    </row>
    <row r="63" spans="1:16" x14ac:dyDescent="0.3">
      <c r="A63">
        <v>6</v>
      </c>
      <c r="B63" t="s">
        <v>300</v>
      </c>
      <c r="C63" t="s">
        <v>2716</v>
      </c>
      <c r="D63" t="s">
        <v>2716</v>
      </c>
      <c r="E63" t="s">
        <v>2716</v>
      </c>
      <c r="F63" t="s">
        <v>351</v>
      </c>
      <c r="G63" t="s">
        <v>2704</v>
      </c>
      <c r="H63" t="s">
        <v>2705</v>
      </c>
      <c r="I63" t="s">
        <v>2706</v>
      </c>
    </row>
    <row r="64" spans="1:16" x14ac:dyDescent="0.3">
      <c r="A64">
        <v>6</v>
      </c>
      <c r="B64" t="s">
        <v>302</v>
      </c>
      <c r="C64" t="s">
        <v>2716</v>
      </c>
      <c r="D64" t="s">
        <v>2716</v>
      </c>
      <c r="E64" t="s">
        <v>2716</v>
      </c>
      <c r="F64" t="s">
        <v>352</v>
      </c>
      <c r="G64" t="s">
        <v>2704</v>
      </c>
      <c r="H64" t="s">
        <v>2705</v>
      </c>
      <c r="I64" t="s">
        <v>2706</v>
      </c>
    </row>
    <row r="65" spans="1:16" x14ac:dyDescent="0.3">
      <c r="A65">
        <v>6</v>
      </c>
      <c r="B65" t="s">
        <v>304</v>
      </c>
      <c r="C65" t="s">
        <v>2716</v>
      </c>
      <c r="D65" t="s">
        <v>2716</v>
      </c>
      <c r="E65" t="s">
        <v>2716</v>
      </c>
      <c r="F65" t="s">
        <v>353</v>
      </c>
      <c r="G65" t="s">
        <v>2704</v>
      </c>
      <c r="H65" t="s">
        <v>2705</v>
      </c>
      <c r="I65" t="s">
        <v>2706</v>
      </c>
    </row>
    <row r="66" spans="1:16" x14ac:dyDescent="0.3">
      <c r="A66">
        <v>7</v>
      </c>
      <c r="B66" t="s">
        <v>274</v>
      </c>
      <c r="C66" t="s">
        <v>2716</v>
      </c>
      <c r="D66" t="s">
        <v>2716</v>
      </c>
      <c r="E66" t="s">
        <v>2716</v>
      </c>
      <c r="F66" t="s">
        <v>354</v>
      </c>
      <c r="G66" t="s">
        <v>2704</v>
      </c>
      <c r="H66" t="s">
        <v>2705</v>
      </c>
      <c r="I66" t="s">
        <v>2706</v>
      </c>
    </row>
    <row r="67" spans="1:16" x14ac:dyDescent="0.3">
      <c r="A67">
        <v>7</v>
      </c>
      <c r="B67" t="s">
        <v>276</v>
      </c>
      <c r="C67" t="s">
        <v>2716</v>
      </c>
      <c r="D67" t="s">
        <v>2716</v>
      </c>
      <c r="E67" t="s">
        <v>2716</v>
      </c>
      <c r="F67" t="s">
        <v>355</v>
      </c>
      <c r="G67" t="s">
        <v>2704</v>
      </c>
      <c r="H67" t="s">
        <v>2705</v>
      </c>
      <c r="I67" t="s">
        <v>2706</v>
      </c>
    </row>
    <row r="68" spans="1:16" x14ac:dyDescent="0.3">
      <c r="A68">
        <v>7</v>
      </c>
      <c r="B68" t="s">
        <v>278</v>
      </c>
      <c r="C68" t="s">
        <v>2716</v>
      </c>
      <c r="D68" t="s">
        <v>2716</v>
      </c>
      <c r="E68" t="s">
        <v>2716</v>
      </c>
      <c r="F68" t="s">
        <v>356</v>
      </c>
      <c r="G68" t="s">
        <v>2704</v>
      </c>
      <c r="H68" t="s">
        <v>2705</v>
      </c>
      <c r="I68" t="s">
        <v>2706</v>
      </c>
    </row>
    <row r="69" spans="1:16" x14ac:dyDescent="0.3">
      <c r="A69">
        <v>7</v>
      </c>
      <c r="B69" t="s">
        <v>280</v>
      </c>
      <c r="C69" t="s">
        <v>2716</v>
      </c>
      <c r="D69" t="s">
        <v>2716</v>
      </c>
      <c r="E69" t="s">
        <v>2716</v>
      </c>
      <c r="F69" t="s">
        <v>357</v>
      </c>
      <c r="G69" t="s">
        <v>2704</v>
      </c>
      <c r="H69" t="s">
        <v>2705</v>
      </c>
      <c r="I69" t="s">
        <v>2706</v>
      </c>
    </row>
    <row r="70" spans="1:16" x14ac:dyDescent="0.3">
      <c r="A70">
        <v>7</v>
      </c>
      <c r="B70" t="s">
        <v>282</v>
      </c>
      <c r="C70" t="s">
        <v>2716</v>
      </c>
      <c r="D70" t="s">
        <v>2716</v>
      </c>
      <c r="E70" t="s">
        <v>2716</v>
      </c>
      <c r="F70" t="s">
        <v>358</v>
      </c>
      <c r="G70" t="s">
        <v>2704</v>
      </c>
      <c r="H70" t="s">
        <v>2705</v>
      </c>
      <c r="I70" t="s">
        <v>2706</v>
      </c>
    </row>
    <row r="71" spans="1:16" x14ac:dyDescent="0.3">
      <c r="A71">
        <v>7</v>
      </c>
      <c r="B71" t="s">
        <v>284</v>
      </c>
      <c r="C71" t="s">
        <v>2716</v>
      </c>
      <c r="D71" t="s">
        <v>2716</v>
      </c>
      <c r="E71" t="s">
        <v>2716</v>
      </c>
      <c r="F71" t="s">
        <v>359</v>
      </c>
      <c r="G71" t="s">
        <v>2704</v>
      </c>
      <c r="H71" t="s">
        <v>2705</v>
      </c>
      <c r="I71" t="s">
        <v>2706</v>
      </c>
    </row>
    <row r="72" spans="1:16" x14ac:dyDescent="0.3">
      <c r="A72">
        <v>7</v>
      </c>
      <c r="B72" t="s">
        <v>286</v>
      </c>
      <c r="C72" t="s">
        <v>2716</v>
      </c>
      <c r="D72" t="s">
        <v>2716</v>
      </c>
      <c r="E72" t="s">
        <v>2716</v>
      </c>
      <c r="F72" t="s">
        <v>360</v>
      </c>
      <c r="G72" t="s">
        <v>2704</v>
      </c>
      <c r="H72" t="s">
        <v>2705</v>
      </c>
      <c r="I72" t="s">
        <v>2706</v>
      </c>
    </row>
    <row r="73" spans="1:16" x14ac:dyDescent="0.3">
      <c r="A73">
        <v>7</v>
      </c>
      <c r="B73" t="s">
        <v>288</v>
      </c>
      <c r="C73" t="s">
        <v>2716</v>
      </c>
      <c r="D73" t="s">
        <v>2716</v>
      </c>
      <c r="E73" t="s">
        <v>2716</v>
      </c>
      <c r="F73" t="s">
        <v>361</v>
      </c>
      <c r="G73" t="s">
        <v>2704</v>
      </c>
      <c r="H73" t="s">
        <v>2705</v>
      </c>
      <c r="I73" t="s">
        <v>2706</v>
      </c>
    </row>
    <row r="74" spans="1:16" x14ac:dyDescent="0.3">
      <c r="A74">
        <v>8</v>
      </c>
      <c r="B74" t="s">
        <v>274</v>
      </c>
      <c r="C74" t="s">
        <v>2784</v>
      </c>
      <c r="D74" t="s">
        <v>3070</v>
      </c>
      <c r="E74" t="s">
        <v>2785</v>
      </c>
      <c r="F74" t="s">
        <v>362</v>
      </c>
      <c r="G74" t="s">
        <v>2704</v>
      </c>
      <c r="H74" t="s">
        <v>2786</v>
      </c>
      <c r="I74" t="s">
        <v>2706</v>
      </c>
      <c r="N74" t="s">
        <v>2720</v>
      </c>
      <c r="O74" t="s">
        <v>2721</v>
      </c>
      <c r="P74">
        <v>44382</v>
      </c>
    </row>
    <row r="75" spans="1:16" x14ac:dyDescent="0.3">
      <c r="A75">
        <v>8</v>
      </c>
      <c r="B75" t="s">
        <v>276</v>
      </c>
      <c r="C75" t="s">
        <v>2787</v>
      </c>
      <c r="D75" t="s">
        <v>3071</v>
      </c>
      <c r="E75" t="s">
        <v>2788</v>
      </c>
      <c r="F75" t="s">
        <v>363</v>
      </c>
      <c r="G75" t="s">
        <v>2704</v>
      </c>
      <c r="H75" t="s">
        <v>2786</v>
      </c>
      <c r="I75" t="s">
        <v>2706</v>
      </c>
      <c r="N75" t="s">
        <v>2720</v>
      </c>
      <c r="O75" t="s">
        <v>2721</v>
      </c>
      <c r="P75">
        <v>44382</v>
      </c>
    </row>
    <row r="76" spans="1:16" x14ac:dyDescent="0.3">
      <c r="A76">
        <v>8</v>
      </c>
      <c r="B76" t="s">
        <v>278</v>
      </c>
      <c r="C76" t="s">
        <v>2789</v>
      </c>
      <c r="D76" t="s">
        <v>3072</v>
      </c>
      <c r="E76" t="s">
        <v>2785</v>
      </c>
      <c r="F76" t="s">
        <v>364</v>
      </c>
      <c r="G76" t="s">
        <v>2704</v>
      </c>
      <c r="H76" t="s">
        <v>2786</v>
      </c>
      <c r="I76" t="s">
        <v>2706</v>
      </c>
      <c r="N76" t="s">
        <v>2720</v>
      </c>
      <c r="O76" t="s">
        <v>2721</v>
      </c>
      <c r="P76">
        <v>44382</v>
      </c>
    </row>
    <row r="77" spans="1:16" x14ac:dyDescent="0.3">
      <c r="A77">
        <v>8</v>
      </c>
      <c r="B77" t="s">
        <v>280</v>
      </c>
      <c r="C77" t="s">
        <v>2790</v>
      </c>
      <c r="D77" t="s">
        <v>3073</v>
      </c>
      <c r="E77" t="s">
        <v>2788</v>
      </c>
      <c r="F77" t="s">
        <v>365</v>
      </c>
      <c r="G77" t="s">
        <v>2704</v>
      </c>
      <c r="H77" t="s">
        <v>2786</v>
      </c>
      <c r="I77" t="s">
        <v>2706</v>
      </c>
      <c r="N77" t="s">
        <v>2720</v>
      </c>
      <c r="O77" t="s">
        <v>2721</v>
      </c>
      <c r="P77">
        <v>44382</v>
      </c>
    </row>
    <row r="78" spans="1:16" x14ac:dyDescent="0.3">
      <c r="A78">
        <v>8</v>
      </c>
      <c r="B78" t="s">
        <v>282</v>
      </c>
      <c r="C78" t="s">
        <v>2791</v>
      </c>
      <c r="D78" t="s">
        <v>3074</v>
      </c>
      <c r="E78" t="s">
        <v>2785</v>
      </c>
      <c r="F78" t="s">
        <v>366</v>
      </c>
      <c r="G78" t="s">
        <v>2704</v>
      </c>
      <c r="H78" t="s">
        <v>2786</v>
      </c>
      <c r="I78" t="s">
        <v>2706</v>
      </c>
      <c r="N78" t="s">
        <v>2720</v>
      </c>
      <c r="O78" t="s">
        <v>2721</v>
      </c>
      <c r="P78">
        <v>44382</v>
      </c>
    </row>
    <row r="79" spans="1:16" x14ac:dyDescent="0.3">
      <c r="A79">
        <v>8</v>
      </c>
      <c r="B79" t="s">
        <v>284</v>
      </c>
      <c r="C79" t="s">
        <v>2792</v>
      </c>
      <c r="D79" t="s">
        <v>3075</v>
      </c>
      <c r="E79" t="s">
        <v>2788</v>
      </c>
      <c r="F79" t="s">
        <v>367</v>
      </c>
      <c r="G79" t="s">
        <v>2704</v>
      </c>
      <c r="H79" t="s">
        <v>2786</v>
      </c>
      <c r="I79" t="s">
        <v>2706</v>
      </c>
      <c r="N79" t="s">
        <v>2720</v>
      </c>
      <c r="O79" t="s">
        <v>2721</v>
      </c>
      <c r="P79">
        <v>44382</v>
      </c>
    </row>
    <row r="80" spans="1:16" x14ac:dyDescent="0.3">
      <c r="A80">
        <v>8</v>
      </c>
      <c r="B80" t="s">
        <v>286</v>
      </c>
      <c r="C80" t="s">
        <v>2793</v>
      </c>
      <c r="D80" t="s">
        <v>2793</v>
      </c>
      <c r="F80" t="s">
        <v>368</v>
      </c>
      <c r="G80" t="s">
        <v>2704</v>
      </c>
      <c r="H80" t="s">
        <v>2705</v>
      </c>
      <c r="I80" t="s">
        <v>2706</v>
      </c>
    </row>
    <row r="81" spans="1:9" x14ac:dyDescent="0.3">
      <c r="A81">
        <v>8</v>
      </c>
      <c r="B81" t="s">
        <v>288</v>
      </c>
      <c r="C81" t="s">
        <v>2794</v>
      </c>
      <c r="D81" t="s">
        <v>2794</v>
      </c>
      <c r="F81" t="s">
        <v>369</v>
      </c>
      <c r="G81" t="s">
        <v>2704</v>
      </c>
      <c r="H81" t="s">
        <v>2705</v>
      </c>
      <c r="I81" t="s">
        <v>2706</v>
      </c>
    </row>
    <row r="82" spans="1:9" x14ac:dyDescent="0.3">
      <c r="A82">
        <v>8</v>
      </c>
      <c r="B82" t="s">
        <v>290</v>
      </c>
      <c r="C82" t="s">
        <v>2795</v>
      </c>
      <c r="D82" t="s">
        <v>2795</v>
      </c>
      <c r="F82" t="s">
        <v>370</v>
      </c>
      <c r="G82" t="s">
        <v>2704</v>
      </c>
      <c r="H82" t="s">
        <v>2705</v>
      </c>
      <c r="I82" t="s">
        <v>2706</v>
      </c>
    </row>
    <row r="83" spans="1:9" x14ac:dyDescent="0.3">
      <c r="A83">
        <v>8</v>
      </c>
      <c r="B83" t="s">
        <v>292</v>
      </c>
      <c r="C83" t="s">
        <v>2796</v>
      </c>
      <c r="D83" t="s">
        <v>2796</v>
      </c>
      <c r="F83" t="s">
        <v>371</v>
      </c>
      <c r="G83" t="s">
        <v>2704</v>
      </c>
      <c r="H83" t="s">
        <v>2705</v>
      </c>
      <c r="I83" t="s">
        <v>2706</v>
      </c>
    </row>
    <row r="84" spans="1:9" x14ac:dyDescent="0.3">
      <c r="A84">
        <v>8</v>
      </c>
      <c r="B84" t="s">
        <v>294</v>
      </c>
      <c r="C84" t="s">
        <v>2797</v>
      </c>
      <c r="D84" t="s">
        <v>3076</v>
      </c>
      <c r="E84" t="s">
        <v>2788</v>
      </c>
      <c r="F84" t="s">
        <v>372</v>
      </c>
      <c r="G84" t="s">
        <v>2704</v>
      </c>
      <c r="H84" t="s">
        <v>2786</v>
      </c>
      <c r="I84" t="s">
        <v>2706</v>
      </c>
    </row>
    <row r="85" spans="1:9" x14ac:dyDescent="0.3">
      <c r="A85">
        <v>8</v>
      </c>
      <c r="B85" t="s">
        <v>296</v>
      </c>
      <c r="C85" t="s">
        <v>2798</v>
      </c>
      <c r="D85" t="s">
        <v>3077</v>
      </c>
      <c r="E85" t="s">
        <v>2785</v>
      </c>
      <c r="F85" t="s">
        <v>373</v>
      </c>
      <c r="G85" t="s">
        <v>2704</v>
      </c>
      <c r="H85" t="s">
        <v>2786</v>
      </c>
      <c r="I85" t="s">
        <v>2706</v>
      </c>
    </row>
    <row r="86" spans="1:9" x14ac:dyDescent="0.3">
      <c r="A86">
        <v>8</v>
      </c>
      <c r="B86" t="s">
        <v>298</v>
      </c>
      <c r="C86" t="s">
        <v>2716</v>
      </c>
      <c r="D86" t="s">
        <v>2716</v>
      </c>
      <c r="E86" t="s">
        <v>2716</v>
      </c>
      <c r="F86" t="s">
        <v>374</v>
      </c>
      <c r="G86" t="s">
        <v>2704</v>
      </c>
      <c r="H86" t="s">
        <v>2717</v>
      </c>
      <c r="I86" t="s">
        <v>2717</v>
      </c>
    </row>
    <row r="87" spans="1:9" x14ac:dyDescent="0.3">
      <c r="A87">
        <v>8</v>
      </c>
      <c r="B87" t="s">
        <v>300</v>
      </c>
      <c r="C87" t="s">
        <v>2716</v>
      </c>
      <c r="D87" t="s">
        <v>2716</v>
      </c>
      <c r="E87" t="s">
        <v>2716</v>
      </c>
      <c r="F87" t="s">
        <v>375</v>
      </c>
      <c r="G87" t="s">
        <v>2704</v>
      </c>
      <c r="H87" t="s">
        <v>2717</v>
      </c>
      <c r="I87" t="s">
        <v>2717</v>
      </c>
    </row>
    <row r="88" spans="1:9" x14ac:dyDescent="0.3">
      <c r="A88">
        <v>8</v>
      </c>
      <c r="B88" t="s">
        <v>302</v>
      </c>
      <c r="C88" t="s">
        <v>2716</v>
      </c>
      <c r="D88" t="s">
        <v>2716</v>
      </c>
      <c r="E88" t="s">
        <v>2716</v>
      </c>
      <c r="F88" t="s">
        <v>376</v>
      </c>
      <c r="G88" t="s">
        <v>2704</v>
      </c>
      <c r="H88" t="s">
        <v>2717</v>
      </c>
      <c r="I88" t="s">
        <v>2717</v>
      </c>
    </row>
    <row r="89" spans="1:9" x14ac:dyDescent="0.3">
      <c r="A89">
        <v>8</v>
      </c>
      <c r="B89" t="s">
        <v>304</v>
      </c>
      <c r="C89" t="s">
        <v>2716</v>
      </c>
      <c r="D89" t="s">
        <v>2716</v>
      </c>
      <c r="E89" t="s">
        <v>2716</v>
      </c>
      <c r="F89" t="s">
        <v>377</v>
      </c>
      <c r="G89" t="s">
        <v>2704</v>
      </c>
      <c r="H89" t="s">
        <v>2717</v>
      </c>
      <c r="I89" t="s">
        <v>2717</v>
      </c>
    </row>
    <row r="90" spans="1:9" x14ac:dyDescent="0.3">
      <c r="A90">
        <v>9</v>
      </c>
      <c r="B90" t="s">
        <v>274</v>
      </c>
      <c r="C90" t="s">
        <v>1457</v>
      </c>
      <c r="D90" t="s">
        <v>1876</v>
      </c>
      <c r="E90" t="s">
        <v>2799</v>
      </c>
      <c r="F90" t="s">
        <v>2800</v>
      </c>
      <c r="G90" t="s">
        <v>2801</v>
      </c>
      <c r="H90" t="s">
        <v>2802</v>
      </c>
      <c r="I90" t="s">
        <v>2803</v>
      </c>
    </row>
    <row r="91" spans="1:9" x14ac:dyDescent="0.3">
      <c r="A91">
        <v>9</v>
      </c>
      <c r="B91" t="s">
        <v>276</v>
      </c>
      <c r="C91" t="s">
        <v>1458</v>
      </c>
      <c r="D91" t="s">
        <v>1880</v>
      </c>
      <c r="E91" t="s">
        <v>2804</v>
      </c>
      <c r="F91" t="s">
        <v>2805</v>
      </c>
      <c r="G91" t="s">
        <v>2801</v>
      </c>
      <c r="H91" t="s">
        <v>2802</v>
      </c>
      <c r="I91" t="s">
        <v>2803</v>
      </c>
    </row>
    <row r="92" spans="1:9" x14ac:dyDescent="0.3">
      <c r="A92">
        <v>9</v>
      </c>
      <c r="B92" t="s">
        <v>278</v>
      </c>
      <c r="C92" t="s">
        <v>1462</v>
      </c>
      <c r="D92" t="s">
        <v>1896</v>
      </c>
      <c r="E92" t="s">
        <v>2806</v>
      </c>
      <c r="F92" t="s">
        <v>2807</v>
      </c>
      <c r="G92" t="s">
        <v>2801</v>
      </c>
      <c r="H92" t="s">
        <v>2802</v>
      </c>
      <c r="I92" t="s">
        <v>2803</v>
      </c>
    </row>
    <row r="93" spans="1:9" x14ac:dyDescent="0.3">
      <c r="A93">
        <v>9</v>
      </c>
      <c r="B93" t="s">
        <v>280</v>
      </c>
      <c r="C93" t="s">
        <v>1463</v>
      </c>
      <c r="D93" t="s">
        <v>1900</v>
      </c>
      <c r="E93" t="s">
        <v>2808</v>
      </c>
      <c r="F93" t="s">
        <v>2809</v>
      </c>
      <c r="G93" t="s">
        <v>2801</v>
      </c>
      <c r="H93" t="s">
        <v>2802</v>
      </c>
      <c r="I93" t="s">
        <v>2803</v>
      </c>
    </row>
    <row r="94" spans="1:9" x14ac:dyDescent="0.3">
      <c r="A94">
        <v>10</v>
      </c>
      <c r="B94" t="s">
        <v>274</v>
      </c>
      <c r="C94" t="s">
        <v>1450</v>
      </c>
      <c r="D94" t="s">
        <v>1792</v>
      </c>
      <c r="E94" t="s">
        <v>2810</v>
      </c>
      <c r="F94" t="s">
        <v>2811</v>
      </c>
      <c r="G94" t="s">
        <v>2812</v>
      </c>
      <c r="H94" t="s">
        <v>2813</v>
      </c>
      <c r="I94" t="s">
        <v>2803</v>
      </c>
    </row>
    <row r="95" spans="1:9" x14ac:dyDescent="0.3">
      <c r="A95">
        <v>10</v>
      </c>
      <c r="B95" t="s">
        <v>276</v>
      </c>
      <c r="C95" t="s">
        <v>1451</v>
      </c>
      <c r="D95" t="s">
        <v>1796</v>
      </c>
      <c r="E95" t="s">
        <v>2810</v>
      </c>
      <c r="F95" t="s">
        <v>2814</v>
      </c>
      <c r="G95" t="s">
        <v>2812</v>
      </c>
      <c r="H95" t="s">
        <v>2813</v>
      </c>
      <c r="I95" t="s">
        <v>2803</v>
      </c>
    </row>
    <row r="96" spans="1:9" x14ac:dyDescent="0.3">
      <c r="A96">
        <v>10</v>
      </c>
      <c r="B96" t="s">
        <v>278</v>
      </c>
      <c r="C96" t="s">
        <v>1452</v>
      </c>
      <c r="D96" t="s">
        <v>1800</v>
      </c>
      <c r="E96" t="s">
        <v>2815</v>
      </c>
      <c r="F96" t="s">
        <v>2816</v>
      </c>
      <c r="G96" t="s">
        <v>2812</v>
      </c>
      <c r="H96" t="s">
        <v>2813</v>
      </c>
      <c r="I96" t="s">
        <v>2803</v>
      </c>
    </row>
    <row r="97" spans="1:16" x14ac:dyDescent="0.3">
      <c r="A97">
        <v>10</v>
      </c>
      <c r="B97" t="s">
        <v>280</v>
      </c>
      <c r="C97" t="s">
        <v>1453</v>
      </c>
      <c r="D97" t="s">
        <v>1804</v>
      </c>
      <c r="E97" t="s">
        <v>2810</v>
      </c>
      <c r="F97" t="s">
        <v>2817</v>
      </c>
      <c r="G97" t="s">
        <v>2812</v>
      </c>
      <c r="H97" t="s">
        <v>2813</v>
      </c>
      <c r="I97" t="s">
        <v>2803</v>
      </c>
    </row>
    <row r="98" spans="1:16" x14ac:dyDescent="0.3">
      <c r="A98">
        <v>11</v>
      </c>
      <c r="B98" t="s">
        <v>274</v>
      </c>
      <c r="C98" t="s">
        <v>1454</v>
      </c>
      <c r="D98" t="s">
        <v>1808</v>
      </c>
      <c r="E98" t="s">
        <v>2810</v>
      </c>
      <c r="F98" t="s">
        <v>2818</v>
      </c>
      <c r="G98" t="s">
        <v>2812</v>
      </c>
      <c r="H98" t="s">
        <v>2813</v>
      </c>
      <c r="I98" t="s">
        <v>2803</v>
      </c>
    </row>
    <row r="99" spans="1:16" x14ac:dyDescent="0.3">
      <c r="A99">
        <v>11</v>
      </c>
      <c r="B99" t="s">
        <v>276</v>
      </c>
      <c r="C99" t="s">
        <v>2716</v>
      </c>
      <c r="D99" t="s">
        <v>2716</v>
      </c>
      <c r="E99" t="s">
        <v>2716</v>
      </c>
      <c r="F99" t="s">
        <v>2819</v>
      </c>
      <c r="G99" t="s">
        <v>2704</v>
      </c>
      <c r="H99" t="s">
        <v>2717</v>
      </c>
      <c r="I99" t="s">
        <v>2717</v>
      </c>
    </row>
    <row r="100" spans="1:16" x14ac:dyDescent="0.3">
      <c r="A100">
        <v>11</v>
      </c>
      <c r="B100" t="s">
        <v>278</v>
      </c>
      <c r="C100" t="s">
        <v>2716</v>
      </c>
      <c r="D100" t="s">
        <v>2716</v>
      </c>
      <c r="E100" t="s">
        <v>2716</v>
      </c>
      <c r="F100" t="s">
        <v>2820</v>
      </c>
      <c r="G100" t="s">
        <v>2704</v>
      </c>
      <c r="H100" t="s">
        <v>2717</v>
      </c>
      <c r="I100" t="s">
        <v>2717</v>
      </c>
    </row>
    <row r="101" spans="1:16" x14ac:dyDescent="0.3">
      <c r="A101">
        <v>11</v>
      </c>
      <c r="B101" t="s">
        <v>280</v>
      </c>
      <c r="C101" t="s">
        <v>2716</v>
      </c>
      <c r="D101" t="s">
        <v>2716</v>
      </c>
      <c r="E101" t="s">
        <v>2716</v>
      </c>
      <c r="F101" t="s">
        <v>2821</v>
      </c>
      <c r="G101" t="s">
        <v>2704</v>
      </c>
      <c r="H101" t="s">
        <v>2717</v>
      </c>
      <c r="I101" t="s">
        <v>2717</v>
      </c>
    </row>
    <row r="102" spans="1:16" x14ac:dyDescent="0.3">
      <c r="A102">
        <v>12</v>
      </c>
      <c r="B102" t="s">
        <v>274</v>
      </c>
      <c r="C102" t="s">
        <v>1455</v>
      </c>
      <c r="D102" t="s">
        <v>1868</v>
      </c>
      <c r="E102" t="s">
        <v>2822</v>
      </c>
      <c r="F102" t="s">
        <v>2823</v>
      </c>
      <c r="G102" t="s">
        <v>2801</v>
      </c>
      <c r="H102" t="s">
        <v>2824</v>
      </c>
      <c r="I102" t="s">
        <v>2803</v>
      </c>
    </row>
    <row r="103" spans="1:16" x14ac:dyDescent="0.3">
      <c r="A103">
        <v>12</v>
      </c>
      <c r="B103" t="s">
        <v>276</v>
      </c>
      <c r="C103" t="s">
        <v>1456</v>
      </c>
      <c r="D103" t="s">
        <v>1872</v>
      </c>
      <c r="E103" t="s">
        <v>2822</v>
      </c>
      <c r="F103" t="s">
        <v>2825</v>
      </c>
      <c r="G103" t="s">
        <v>2801</v>
      </c>
      <c r="H103" t="s">
        <v>2824</v>
      </c>
      <c r="I103" t="s">
        <v>2803</v>
      </c>
    </row>
    <row r="104" spans="1:16" x14ac:dyDescent="0.3">
      <c r="A104">
        <v>12</v>
      </c>
      <c r="B104" t="s">
        <v>278</v>
      </c>
      <c r="C104" t="s">
        <v>1459</v>
      </c>
      <c r="D104" t="s">
        <v>1884</v>
      </c>
      <c r="E104" t="s">
        <v>2826</v>
      </c>
      <c r="F104" t="s">
        <v>2827</v>
      </c>
      <c r="G104" t="s">
        <v>2801</v>
      </c>
      <c r="H104" t="s">
        <v>2824</v>
      </c>
      <c r="I104" t="s">
        <v>2803</v>
      </c>
    </row>
    <row r="105" spans="1:16" x14ac:dyDescent="0.3">
      <c r="A105">
        <v>12</v>
      </c>
      <c r="B105" t="s">
        <v>280</v>
      </c>
      <c r="C105" t="s">
        <v>1460</v>
      </c>
      <c r="D105" t="s">
        <v>1888</v>
      </c>
      <c r="E105" t="s">
        <v>2826</v>
      </c>
      <c r="F105" t="s">
        <v>2828</v>
      </c>
      <c r="G105" t="s">
        <v>2801</v>
      </c>
      <c r="H105" t="s">
        <v>2824</v>
      </c>
      <c r="I105" t="s">
        <v>2803</v>
      </c>
    </row>
    <row r="106" spans="1:16" x14ac:dyDescent="0.3">
      <c r="A106">
        <v>13</v>
      </c>
      <c r="B106" t="s">
        <v>274</v>
      </c>
      <c r="C106" t="s">
        <v>1465</v>
      </c>
      <c r="D106" t="s">
        <v>1908</v>
      </c>
      <c r="E106" t="s">
        <v>2829</v>
      </c>
      <c r="F106" t="s">
        <v>2830</v>
      </c>
      <c r="G106" t="s">
        <v>2801</v>
      </c>
      <c r="H106" t="s">
        <v>2824</v>
      </c>
      <c r="I106" t="s">
        <v>2803</v>
      </c>
    </row>
    <row r="107" spans="1:16" x14ac:dyDescent="0.3">
      <c r="A107">
        <v>13</v>
      </c>
      <c r="B107" t="s">
        <v>276</v>
      </c>
      <c r="C107" t="s">
        <v>1461</v>
      </c>
      <c r="D107" t="s">
        <v>1892</v>
      </c>
      <c r="E107" t="s">
        <v>2831</v>
      </c>
      <c r="F107" t="s">
        <v>2832</v>
      </c>
      <c r="G107" t="s">
        <v>2801</v>
      </c>
      <c r="H107" t="s">
        <v>2824</v>
      </c>
      <c r="I107" t="s">
        <v>2803</v>
      </c>
    </row>
    <row r="108" spans="1:16" x14ac:dyDescent="0.3">
      <c r="A108">
        <v>13</v>
      </c>
      <c r="B108" t="s">
        <v>278</v>
      </c>
      <c r="C108" t="s">
        <v>1464</v>
      </c>
      <c r="D108" t="s">
        <v>1904</v>
      </c>
      <c r="E108" t="s">
        <v>2833</v>
      </c>
      <c r="F108" t="s">
        <v>2834</v>
      </c>
      <c r="G108" t="s">
        <v>2801</v>
      </c>
      <c r="H108" t="s">
        <v>2824</v>
      </c>
      <c r="I108" t="s">
        <v>2803</v>
      </c>
    </row>
    <row r="109" spans="1:16" x14ac:dyDescent="0.3">
      <c r="A109">
        <v>13</v>
      </c>
      <c r="B109" t="s">
        <v>280</v>
      </c>
      <c r="C109" t="s">
        <v>1466</v>
      </c>
      <c r="D109" t="s">
        <v>1912</v>
      </c>
      <c r="E109" t="s">
        <v>2835</v>
      </c>
      <c r="F109" t="s">
        <v>2836</v>
      </c>
      <c r="G109" t="s">
        <v>2801</v>
      </c>
      <c r="H109" t="s">
        <v>2824</v>
      </c>
      <c r="I109" t="s">
        <v>2803</v>
      </c>
    </row>
    <row r="110" spans="1:16" x14ac:dyDescent="0.3">
      <c r="A110">
        <v>14</v>
      </c>
      <c r="B110" t="s">
        <v>274</v>
      </c>
      <c r="C110" t="s">
        <v>923</v>
      </c>
      <c r="D110" t="s">
        <v>1820</v>
      </c>
      <c r="E110" t="s">
        <v>2837</v>
      </c>
      <c r="F110" t="s">
        <v>2838</v>
      </c>
      <c r="G110" t="s">
        <v>2812</v>
      </c>
      <c r="H110" t="s">
        <v>2813</v>
      </c>
      <c r="I110" t="s">
        <v>2803</v>
      </c>
      <c r="N110" t="s">
        <v>2720</v>
      </c>
      <c r="O110" t="s">
        <v>2721</v>
      </c>
      <c r="P110">
        <v>44382</v>
      </c>
    </row>
    <row r="111" spans="1:16" x14ac:dyDescent="0.3">
      <c r="A111">
        <v>14</v>
      </c>
      <c r="B111" t="s">
        <v>276</v>
      </c>
      <c r="C111" t="s">
        <v>925</v>
      </c>
      <c r="D111" t="s">
        <v>1824</v>
      </c>
      <c r="E111" t="s">
        <v>2837</v>
      </c>
      <c r="F111" t="s">
        <v>2839</v>
      </c>
      <c r="G111" t="s">
        <v>2812</v>
      </c>
      <c r="H111" t="s">
        <v>2813</v>
      </c>
      <c r="I111" t="s">
        <v>2803</v>
      </c>
      <c r="N111" t="s">
        <v>2720</v>
      </c>
      <c r="O111" t="s">
        <v>2721</v>
      </c>
      <c r="P111">
        <v>44382</v>
      </c>
    </row>
    <row r="112" spans="1:16" x14ac:dyDescent="0.3">
      <c r="A112">
        <v>14</v>
      </c>
      <c r="B112" t="s">
        <v>278</v>
      </c>
      <c r="C112" t="s">
        <v>962</v>
      </c>
      <c r="D112" t="s">
        <v>1948</v>
      </c>
      <c r="E112" t="s">
        <v>2840</v>
      </c>
      <c r="F112" t="s">
        <v>2841</v>
      </c>
      <c r="G112" t="s">
        <v>2801</v>
      </c>
      <c r="H112" t="s">
        <v>2842</v>
      </c>
      <c r="I112" t="s">
        <v>2803</v>
      </c>
      <c r="N112" t="s">
        <v>2720</v>
      </c>
      <c r="O112" t="s">
        <v>2721</v>
      </c>
      <c r="P112">
        <v>44382</v>
      </c>
    </row>
    <row r="113" spans="1:16" x14ac:dyDescent="0.3">
      <c r="A113">
        <v>14</v>
      </c>
      <c r="B113" t="s">
        <v>280</v>
      </c>
      <c r="C113" t="s">
        <v>963</v>
      </c>
      <c r="D113" t="s">
        <v>1952</v>
      </c>
      <c r="E113" t="s">
        <v>2843</v>
      </c>
      <c r="F113" t="s">
        <v>2844</v>
      </c>
      <c r="G113" t="s">
        <v>2801</v>
      </c>
      <c r="H113" t="s">
        <v>2824</v>
      </c>
      <c r="I113" t="s">
        <v>2803</v>
      </c>
      <c r="N113" t="s">
        <v>2720</v>
      </c>
      <c r="O113" t="s">
        <v>2721</v>
      </c>
      <c r="P113">
        <v>44382</v>
      </c>
    </row>
    <row r="114" spans="1:16" x14ac:dyDescent="0.3">
      <c r="A114">
        <v>15</v>
      </c>
      <c r="B114" t="s">
        <v>274</v>
      </c>
      <c r="C114" t="s">
        <v>926</v>
      </c>
      <c r="D114" t="s">
        <v>1828</v>
      </c>
      <c r="E114" t="s">
        <v>2845</v>
      </c>
      <c r="F114" t="s">
        <v>2846</v>
      </c>
      <c r="G114" t="s">
        <v>2812</v>
      </c>
      <c r="H114" t="s">
        <v>2813</v>
      </c>
      <c r="I114" t="s">
        <v>2803</v>
      </c>
      <c r="N114" t="s">
        <v>2720</v>
      </c>
      <c r="O114" t="s">
        <v>2721</v>
      </c>
      <c r="P114">
        <v>44382</v>
      </c>
    </row>
    <row r="115" spans="1:16" x14ac:dyDescent="0.3">
      <c r="A115">
        <v>15</v>
      </c>
      <c r="B115" t="s">
        <v>276</v>
      </c>
      <c r="C115" t="s">
        <v>927</v>
      </c>
      <c r="D115" t="s">
        <v>1832</v>
      </c>
      <c r="E115" t="s">
        <v>2845</v>
      </c>
      <c r="F115" t="s">
        <v>2847</v>
      </c>
      <c r="G115" t="s">
        <v>2812</v>
      </c>
      <c r="H115" t="s">
        <v>2813</v>
      </c>
      <c r="I115" t="s">
        <v>2803</v>
      </c>
      <c r="N115" t="s">
        <v>2720</v>
      </c>
      <c r="O115" t="s">
        <v>2721</v>
      </c>
      <c r="P115">
        <v>44382</v>
      </c>
    </row>
    <row r="116" spans="1:16" x14ac:dyDescent="0.3">
      <c r="A116">
        <v>15</v>
      </c>
      <c r="B116" t="s">
        <v>278</v>
      </c>
      <c r="C116" t="s">
        <v>928</v>
      </c>
      <c r="D116" t="s">
        <v>1836</v>
      </c>
      <c r="E116" t="s">
        <v>2848</v>
      </c>
      <c r="F116" t="s">
        <v>2849</v>
      </c>
      <c r="G116" t="s">
        <v>2812</v>
      </c>
      <c r="H116" t="s">
        <v>2813</v>
      </c>
      <c r="I116" t="s">
        <v>2803</v>
      </c>
      <c r="N116" t="s">
        <v>2720</v>
      </c>
      <c r="O116" t="s">
        <v>2721</v>
      </c>
      <c r="P116">
        <v>44382</v>
      </c>
    </row>
    <row r="117" spans="1:16" x14ac:dyDescent="0.3">
      <c r="A117">
        <v>15</v>
      </c>
      <c r="B117" t="s">
        <v>280</v>
      </c>
      <c r="C117" t="s">
        <v>929</v>
      </c>
      <c r="D117" t="s">
        <v>1840</v>
      </c>
      <c r="E117" t="s">
        <v>2848</v>
      </c>
      <c r="F117" t="s">
        <v>2850</v>
      </c>
      <c r="G117" t="s">
        <v>2812</v>
      </c>
      <c r="H117" t="s">
        <v>2813</v>
      </c>
      <c r="I117" t="s">
        <v>2803</v>
      </c>
      <c r="N117" t="s">
        <v>2720</v>
      </c>
      <c r="O117" t="s">
        <v>2721</v>
      </c>
      <c r="P117">
        <v>44382</v>
      </c>
    </row>
    <row r="118" spans="1:16" x14ac:dyDescent="0.3">
      <c r="A118">
        <v>16</v>
      </c>
      <c r="B118" t="s">
        <v>274</v>
      </c>
      <c r="C118" t="s">
        <v>930</v>
      </c>
      <c r="D118" t="s">
        <v>1844</v>
      </c>
      <c r="E118" t="s">
        <v>2851</v>
      </c>
      <c r="F118" t="s">
        <v>2852</v>
      </c>
      <c r="G118" t="s">
        <v>2812</v>
      </c>
      <c r="H118" t="s">
        <v>2813</v>
      </c>
      <c r="I118" t="s">
        <v>2803</v>
      </c>
      <c r="N118" t="s">
        <v>2720</v>
      </c>
      <c r="O118" t="s">
        <v>2721</v>
      </c>
      <c r="P118">
        <v>44382</v>
      </c>
    </row>
    <row r="119" spans="1:16" x14ac:dyDescent="0.3">
      <c r="A119">
        <v>16</v>
      </c>
      <c r="B119" t="s">
        <v>276</v>
      </c>
      <c r="C119" t="s">
        <v>931</v>
      </c>
      <c r="D119" t="s">
        <v>1848</v>
      </c>
      <c r="E119" t="s">
        <v>2851</v>
      </c>
      <c r="F119" t="s">
        <v>2853</v>
      </c>
      <c r="G119" t="s">
        <v>2812</v>
      </c>
      <c r="H119" t="s">
        <v>2813</v>
      </c>
      <c r="I119" t="s">
        <v>2803</v>
      </c>
      <c r="N119" t="s">
        <v>2720</v>
      </c>
      <c r="O119" t="s">
        <v>2721</v>
      </c>
      <c r="P119">
        <v>44382</v>
      </c>
    </row>
    <row r="120" spans="1:16" x14ac:dyDescent="0.3">
      <c r="A120">
        <v>16</v>
      </c>
      <c r="B120" t="s">
        <v>278</v>
      </c>
      <c r="C120" t="s">
        <v>932</v>
      </c>
      <c r="D120" t="s">
        <v>1852</v>
      </c>
      <c r="E120" t="s">
        <v>2854</v>
      </c>
      <c r="F120" t="s">
        <v>2855</v>
      </c>
      <c r="G120" t="s">
        <v>2812</v>
      </c>
      <c r="H120" t="s">
        <v>2813</v>
      </c>
      <c r="I120" t="s">
        <v>2803</v>
      </c>
      <c r="N120" t="s">
        <v>2720</v>
      </c>
      <c r="O120" t="s">
        <v>2721</v>
      </c>
      <c r="P120">
        <v>44382</v>
      </c>
    </row>
    <row r="121" spans="1:16" x14ac:dyDescent="0.3">
      <c r="A121">
        <v>16</v>
      </c>
      <c r="B121" t="s">
        <v>280</v>
      </c>
      <c r="C121" t="s">
        <v>933</v>
      </c>
      <c r="D121" t="s">
        <v>1856</v>
      </c>
      <c r="E121" t="s">
        <v>2854</v>
      </c>
      <c r="F121" t="s">
        <v>2856</v>
      </c>
      <c r="G121" t="s">
        <v>2812</v>
      </c>
      <c r="H121" t="s">
        <v>2813</v>
      </c>
      <c r="I121" t="s">
        <v>2803</v>
      </c>
      <c r="N121" t="s">
        <v>2720</v>
      </c>
      <c r="O121" t="s">
        <v>2721</v>
      </c>
      <c r="P121">
        <v>44382</v>
      </c>
    </row>
    <row r="122" spans="1:16" x14ac:dyDescent="0.3">
      <c r="A122">
        <v>17</v>
      </c>
      <c r="B122" t="s">
        <v>274</v>
      </c>
      <c r="C122" t="s">
        <v>934</v>
      </c>
      <c r="D122" t="s">
        <v>1860</v>
      </c>
      <c r="E122" t="s">
        <v>2857</v>
      </c>
      <c r="F122" t="s">
        <v>2858</v>
      </c>
      <c r="G122" t="s">
        <v>2812</v>
      </c>
      <c r="H122" t="s">
        <v>2813</v>
      </c>
      <c r="I122" t="s">
        <v>2803</v>
      </c>
      <c r="N122" t="s">
        <v>2720</v>
      </c>
      <c r="O122" t="s">
        <v>2721</v>
      </c>
      <c r="P122">
        <v>44382</v>
      </c>
    </row>
    <row r="123" spans="1:16" x14ac:dyDescent="0.3">
      <c r="A123">
        <v>17</v>
      </c>
      <c r="B123" t="s">
        <v>276</v>
      </c>
      <c r="C123" t="s">
        <v>1331</v>
      </c>
      <c r="D123" t="s">
        <v>1776</v>
      </c>
      <c r="E123" t="s">
        <v>2857</v>
      </c>
      <c r="F123" t="s">
        <v>2859</v>
      </c>
      <c r="G123" t="s">
        <v>2812</v>
      </c>
      <c r="H123" t="s">
        <v>2813</v>
      </c>
      <c r="I123" t="s">
        <v>2803</v>
      </c>
      <c r="N123" t="s">
        <v>2720</v>
      </c>
      <c r="O123" t="s">
        <v>2721</v>
      </c>
      <c r="P123">
        <v>44382</v>
      </c>
    </row>
    <row r="124" spans="1:16" x14ac:dyDescent="0.3">
      <c r="A124">
        <v>17</v>
      </c>
      <c r="B124" t="s">
        <v>278</v>
      </c>
      <c r="C124" t="s">
        <v>1333</v>
      </c>
      <c r="D124" t="s">
        <v>1780</v>
      </c>
      <c r="E124" t="s">
        <v>2860</v>
      </c>
      <c r="F124" t="s">
        <v>2861</v>
      </c>
      <c r="G124" t="s">
        <v>2801</v>
      </c>
      <c r="H124" t="s">
        <v>2842</v>
      </c>
      <c r="I124" t="s">
        <v>2803</v>
      </c>
      <c r="N124" t="s">
        <v>2720</v>
      </c>
      <c r="O124" t="s">
        <v>2721</v>
      </c>
      <c r="P124">
        <v>44382</v>
      </c>
    </row>
    <row r="125" spans="1:16" x14ac:dyDescent="0.3">
      <c r="A125">
        <v>17</v>
      </c>
      <c r="B125" t="s">
        <v>280</v>
      </c>
      <c r="C125" t="s">
        <v>967</v>
      </c>
      <c r="D125" t="s">
        <v>1956</v>
      </c>
      <c r="E125" t="s">
        <v>2862</v>
      </c>
      <c r="F125" t="s">
        <v>2863</v>
      </c>
      <c r="G125" t="s">
        <v>2801</v>
      </c>
      <c r="H125" t="s">
        <v>2842</v>
      </c>
      <c r="I125" t="s">
        <v>2803</v>
      </c>
      <c r="N125" t="s">
        <v>2720</v>
      </c>
      <c r="O125" t="s">
        <v>2721</v>
      </c>
      <c r="P125">
        <v>44382</v>
      </c>
    </row>
    <row r="126" spans="1:16" x14ac:dyDescent="0.3">
      <c r="A126">
        <v>18</v>
      </c>
      <c r="B126" t="s">
        <v>274</v>
      </c>
      <c r="C126" t="s">
        <v>972</v>
      </c>
      <c r="D126" t="s">
        <v>1976</v>
      </c>
      <c r="E126" t="s">
        <v>2864</v>
      </c>
      <c r="F126" t="s">
        <v>2865</v>
      </c>
      <c r="G126" t="s">
        <v>2801</v>
      </c>
      <c r="H126" t="s">
        <v>2842</v>
      </c>
      <c r="I126" t="s">
        <v>2803</v>
      </c>
      <c r="N126" t="s">
        <v>2720</v>
      </c>
      <c r="O126" t="s">
        <v>2721</v>
      </c>
      <c r="P126">
        <v>44382</v>
      </c>
    </row>
    <row r="127" spans="1:16" x14ac:dyDescent="0.3">
      <c r="A127">
        <v>18</v>
      </c>
      <c r="B127" t="s">
        <v>276</v>
      </c>
      <c r="C127" t="s">
        <v>1334</v>
      </c>
      <c r="D127" t="s">
        <v>1784</v>
      </c>
      <c r="E127" t="s">
        <v>2866</v>
      </c>
      <c r="F127" t="s">
        <v>2867</v>
      </c>
      <c r="G127" t="s">
        <v>2812</v>
      </c>
      <c r="H127" t="s">
        <v>2813</v>
      </c>
      <c r="I127" t="s">
        <v>2803</v>
      </c>
      <c r="N127" t="s">
        <v>2720</v>
      </c>
      <c r="O127" t="s">
        <v>2721</v>
      </c>
      <c r="P127">
        <v>44382</v>
      </c>
    </row>
    <row r="128" spans="1:16" x14ac:dyDescent="0.3">
      <c r="A128">
        <v>18</v>
      </c>
      <c r="B128" t="s">
        <v>278</v>
      </c>
      <c r="C128" t="s">
        <v>1332</v>
      </c>
      <c r="D128" t="s">
        <v>1788</v>
      </c>
      <c r="E128" t="s">
        <v>2868</v>
      </c>
      <c r="F128" t="s">
        <v>2869</v>
      </c>
      <c r="G128" t="s">
        <v>2801</v>
      </c>
      <c r="H128" t="s">
        <v>2842</v>
      </c>
      <c r="I128" t="s">
        <v>2803</v>
      </c>
      <c r="N128" t="s">
        <v>2720</v>
      </c>
      <c r="O128" t="s">
        <v>2721</v>
      </c>
      <c r="P128">
        <v>44382</v>
      </c>
    </row>
    <row r="129" spans="1:16" x14ac:dyDescent="0.3">
      <c r="A129">
        <v>18</v>
      </c>
      <c r="B129" t="s">
        <v>280</v>
      </c>
      <c r="C129" t="s">
        <v>968</v>
      </c>
      <c r="D129" t="s">
        <v>1960</v>
      </c>
      <c r="E129" t="s">
        <v>2870</v>
      </c>
      <c r="F129" t="s">
        <v>2871</v>
      </c>
      <c r="G129" t="s">
        <v>2801</v>
      </c>
      <c r="H129" t="s">
        <v>2842</v>
      </c>
      <c r="I129" t="s">
        <v>2803</v>
      </c>
      <c r="N129" t="s">
        <v>2720</v>
      </c>
      <c r="O129" t="s">
        <v>2721</v>
      </c>
      <c r="P129">
        <v>44382</v>
      </c>
    </row>
    <row r="130" spans="1:16" x14ac:dyDescent="0.3">
      <c r="A130">
        <v>19</v>
      </c>
      <c r="B130" t="s">
        <v>274</v>
      </c>
      <c r="C130" t="s">
        <v>921</v>
      </c>
      <c r="D130" t="s">
        <v>1812</v>
      </c>
      <c r="E130" t="s">
        <v>2872</v>
      </c>
      <c r="F130" t="s">
        <v>2873</v>
      </c>
      <c r="G130" t="s">
        <v>2812</v>
      </c>
      <c r="H130" t="s">
        <v>2813</v>
      </c>
      <c r="I130" t="s">
        <v>2803</v>
      </c>
      <c r="N130" t="s">
        <v>2720</v>
      </c>
      <c r="O130" t="s">
        <v>2721</v>
      </c>
      <c r="P130">
        <v>44382</v>
      </c>
    </row>
    <row r="131" spans="1:16" x14ac:dyDescent="0.3">
      <c r="A131">
        <v>19</v>
      </c>
      <c r="B131" t="s">
        <v>276</v>
      </c>
      <c r="C131" t="s">
        <v>959</v>
      </c>
      <c r="D131" t="s">
        <v>1936</v>
      </c>
      <c r="E131" t="s">
        <v>2874</v>
      </c>
      <c r="F131" t="s">
        <v>2875</v>
      </c>
      <c r="G131" t="s">
        <v>2801</v>
      </c>
      <c r="H131" t="s">
        <v>2842</v>
      </c>
      <c r="I131" t="s">
        <v>2803</v>
      </c>
      <c r="N131" t="s">
        <v>2720</v>
      </c>
      <c r="O131" t="s">
        <v>2721</v>
      </c>
      <c r="P131">
        <v>44382</v>
      </c>
    </row>
    <row r="132" spans="1:16" x14ac:dyDescent="0.3">
      <c r="A132">
        <v>19</v>
      </c>
      <c r="B132" t="s">
        <v>278</v>
      </c>
      <c r="C132" t="s">
        <v>949</v>
      </c>
      <c r="D132" t="s">
        <v>1916</v>
      </c>
      <c r="E132" t="s">
        <v>2876</v>
      </c>
      <c r="F132" t="s">
        <v>2877</v>
      </c>
      <c r="G132" t="s">
        <v>2801</v>
      </c>
      <c r="H132" t="s">
        <v>2878</v>
      </c>
      <c r="I132" t="s">
        <v>2803</v>
      </c>
      <c r="N132" t="s">
        <v>2720</v>
      </c>
      <c r="O132" t="s">
        <v>2721</v>
      </c>
      <c r="P132">
        <v>44382</v>
      </c>
    </row>
    <row r="133" spans="1:16" x14ac:dyDescent="0.3">
      <c r="A133">
        <v>19</v>
      </c>
      <c r="B133" t="s">
        <v>280</v>
      </c>
      <c r="C133" t="s">
        <v>922</v>
      </c>
      <c r="D133" t="s">
        <v>1816</v>
      </c>
      <c r="E133" t="s">
        <v>2879</v>
      </c>
      <c r="F133" t="s">
        <v>2880</v>
      </c>
      <c r="G133" t="s">
        <v>2812</v>
      </c>
      <c r="H133" t="s">
        <v>2813</v>
      </c>
      <c r="I133" t="s">
        <v>2803</v>
      </c>
      <c r="N133" t="s">
        <v>2720</v>
      </c>
      <c r="O133" t="s">
        <v>2721</v>
      </c>
      <c r="P133">
        <v>44382</v>
      </c>
    </row>
    <row r="134" spans="1:16" x14ac:dyDescent="0.3">
      <c r="A134">
        <v>20</v>
      </c>
      <c r="B134" t="s">
        <v>274</v>
      </c>
      <c r="C134" t="s">
        <v>960</v>
      </c>
      <c r="D134" t="s">
        <v>1940</v>
      </c>
      <c r="E134" t="s">
        <v>2881</v>
      </c>
      <c r="F134" t="s">
        <v>2882</v>
      </c>
      <c r="G134" t="s">
        <v>2801</v>
      </c>
      <c r="H134" t="s">
        <v>2842</v>
      </c>
      <c r="I134" t="s">
        <v>2803</v>
      </c>
      <c r="N134" t="s">
        <v>2720</v>
      </c>
      <c r="O134" t="s">
        <v>2721</v>
      </c>
      <c r="P134">
        <v>44382</v>
      </c>
    </row>
    <row r="135" spans="1:16" x14ac:dyDescent="0.3">
      <c r="A135">
        <v>20</v>
      </c>
      <c r="B135" t="s">
        <v>276</v>
      </c>
      <c r="C135" t="s">
        <v>952</v>
      </c>
      <c r="D135" t="s">
        <v>1920</v>
      </c>
      <c r="E135" t="s">
        <v>2883</v>
      </c>
      <c r="F135" t="s">
        <v>2884</v>
      </c>
      <c r="G135" t="s">
        <v>2801</v>
      </c>
      <c r="H135" t="s">
        <v>2878</v>
      </c>
      <c r="I135" t="s">
        <v>2803</v>
      </c>
      <c r="N135" t="s">
        <v>2720</v>
      </c>
      <c r="O135" t="s">
        <v>2721</v>
      </c>
      <c r="P135">
        <v>44382</v>
      </c>
    </row>
    <row r="136" spans="1:16" x14ac:dyDescent="0.3">
      <c r="A136">
        <v>20</v>
      </c>
      <c r="B136" t="s">
        <v>278</v>
      </c>
      <c r="C136" t="s">
        <v>954</v>
      </c>
      <c r="D136" t="s">
        <v>1928</v>
      </c>
      <c r="E136" t="s">
        <v>2885</v>
      </c>
      <c r="F136" t="s">
        <v>2886</v>
      </c>
      <c r="G136" t="s">
        <v>2801</v>
      </c>
      <c r="H136" t="s">
        <v>2842</v>
      </c>
      <c r="I136" t="s">
        <v>2803</v>
      </c>
      <c r="N136" t="s">
        <v>2720</v>
      </c>
      <c r="O136" t="s">
        <v>2721</v>
      </c>
      <c r="P136">
        <v>44382</v>
      </c>
    </row>
    <row r="137" spans="1:16" x14ac:dyDescent="0.3">
      <c r="A137">
        <v>20</v>
      </c>
      <c r="B137" t="s">
        <v>280</v>
      </c>
      <c r="C137" t="s">
        <v>958</v>
      </c>
      <c r="D137" t="s">
        <v>1932</v>
      </c>
      <c r="E137" t="s">
        <v>2887</v>
      </c>
      <c r="F137" t="s">
        <v>2888</v>
      </c>
      <c r="G137" t="s">
        <v>2801</v>
      </c>
      <c r="H137" t="s">
        <v>2842</v>
      </c>
      <c r="I137" t="s">
        <v>2803</v>
      </c>
      <c r="N137" t="s">
        <v>2720</v>
      </c>
      <c r="O137" t="s">
        <v>2721</v>
      </c>
      <c r="P137">
        <v>44382</v>
      </c>
    </row>
    <row r="138" spans="1:16" x14ac:dyDescent="0.3">
      <c r="A138">
        <v>21</v>
      </c>
      <c r="B138" t="s">
        <v>274</v>
      </c>
      <c r="C138" t="s">
        <v>961</v>
      </c>
      <c r="D138" t="s">
        <v>1944</v>
      </c>
      <c r="E138" t="s">
        <v>2889</v>
      </c>
      <c r="F138" t="s">
        <v>2890</v>
      </c>
      <c r="G138" t="s">
        <v>2801</v>
      </c>
      <c r="H138" t="s">
        <v>2842</v>
      </c>
      <c r="I138" t="s">
        <v>2803</v>
      </c>
      <c r="N138" t="s">
        <v>2720</v>
      </c>
      <c r="O138" t="s">
        <v>2721</v>
      </c>
      <c r="P138">
        <v>44382</v>
      </c>
    </row>
    <row r="139" spans="1:16" x14ac:dyDescent="0.3">
      <c r="A139">
        <v>21</v>
      </c>
      <c r="B139" t="s">
        <v>276</v>
      </c>
      <c r="C139" t="s">
        <v>935</v>
      </c>
      <c r="D139" t="s">
        <v>1864</v>
      </c>
      <c r="E139" t="s">
        <v>2891</v>
      </c>
      <c r="F139" t="s">
        <v>2892</v>
      </c>
      <c r="G139" t="s">
        <v>2812</v>
      </c>
      <c r="H139" t="s">
        <v>2813</v>
      </c>
      <c r="I139" t="s">
        <v>2803</v>
      </c>
      <c r="N139" t="s">
        <v>2720</v>
      </c>
      <c r="O139" t="s">
        <v>2721</v>
      </c>
      <c r="P139">
        <v>44382</v>
      </c>
    </row>
    <row r="140" spans="1:16" x14ac:dyDescent="0.3">
      <c r="A140">
        <v>21</v>
      </c>
      <c r="B140" t="s">
        <v>278</v>
      </c>
      <c r="C140" t="s">
        <v>971</v>
      </c>
      <c r="D140" t="s">
        <v>1972</v>
      </c>
      <c r="E140" t="s">
        <v>2893</v>
      </c>
      <c r="F140" t="s">
        <v>378</v>
      </c>
      <c r="G140" t="s">
        <v>2801</v>
      </c>
      <c r="H140" t="s">
        <v>2842</v>
      </c>
      <c r="I140" t="s">
        <v>2803</v>
      </c>
      <c r="N140" t="s">
        <v>2720</v>
      </c>
      <c r="O140" t="s">
        <v>2721</v>
      </c>
      <c r="P140">
        <v>44382</v>
      </c>
    </row>
    <row r="141" spans="1:16" x14ac:dyDescent="0.3">
      <c r="A141">
        <v>21</v>
      </c>
      <c r="B141" t="s">
        <v>280</v>
      </c>
      <c r="C141" t="s">
        <v>953</v>
      </c>
      <c r="D141" t="s">
        <v>1924</v>
      </c>
      <c r="E141" t="s">
        <v>2894</v>
      </c>
      <c r="F141" t="s">
        <v>379</v>
      </c>
      <c r="G141" t="s">
        <v>2801</v>
      </c>
      <c r="H141" t="s">
        <v>2878</v>
      </c>
      <c r="I141" t="s">
        <v>2803</v>
      </c>
      <c r="N141" t="s">
        <v>2720</v>
      </c>
      <c r="O141" t="s">
        <v>2721</v>
      </c>
      <c r="P141">
        <v>44382</v>
      </c>
    </row>
    <row r="142" spans="1:16" x14ac:dyDescent="0.3">
      <c r="A142">
        <v>22</v>
      </c>
      <c r="B142" t="s">
        <v>274</v>
      </c>
      <c r="C142" t="s">
        <v>969</v>
      </c>
      <c r="D142" t="s">
        <v>1964</v>
      </c>
      <c r="E142" t="s">
        <v>2895</v>
      </c>
      <c r="F142" t="s">
        <v>380</v>
      </c>
      <c r="G142" t="s">
        <v>2801</v>
      </c>
      <c r="H142" t="s">
        <v>2842</v>
      </c>
      <c r="I142" t="s">
        <v>2803</v>
      </c>
      <c r="N142" t="s">
        <v>2720</v>
      </c>
      <c r="O142" t="s">
        <v>2721</v>
      </c>
      <c r="P142">
        <v>44382</v>
      </c>
    </row>
    <row r="143" spans="1:16" x14ac:dyDescent="0.3">
      <c r="A143">
        <v>22</v>
      </c>
      <c r="B143" t="s">
        <v>276</v>
      </c>
      <c r="C143" t="s">
        <v>970</v>
      </c>
      <c r="D143" t="s">
        <v>1968</v>
      </c>
      <c r="E143" t="s">
        <v>2896</v>
      </c>
      <c r="F143" t="s">
        <v>381</v>
      </c>
      <c r="G143" t="s">
        <v>2801</v>
      </c>
      <c r="H143" t="s">
        <v>2842</v>
      </c>
      <c r="I143" t="s">
        <v>2803</v>
      </c>
      <c r="N143" t="s">
        <v>2720</v>
      </c>
      <c r="O143" t="s">
        <v>2721</v>
      </c>
      <c r="P143">
        <v>44382</v>
      </c>
    </row>
    <row r="144" spans="1:16" x14ac:dyDescent="0.3">
      <c r="A144">
        <v>22</v>
      </c>
      <c r="B144" t="s">
        <v>278</v>
      </c>
      <c r="C144" t="s">
        <v>2716</v>
      </c>
      <c r="D144" t="s">
        <v>2716</v>
      </c>
      <c r="E144" t="s">
        <v>2716</v>
      </c>
      <c r="F144" t="s">
        <v>382</v>
      </c>
      <c r="G144" t="s">
        <v>2704</v>
      </c>
      <c r="H144" t="s">
        <v>2717</v>
      </c>
      <c r="I144" t="s">
        <v>2717</v>
      </c>
    </row>
    <row r="145" spans="1:16" x14ac:dyDescent="0.3">
      <c r="A145">
        <v>22</v>
      </c>
      <c r="B145" t="s">
        <v>280</v>
      </c>
      <c r="C145" t="s">
        <v>2716</v>
      </c>
      <c r="D145" t="s">
        <v>2716</v>
      </c>
      <c r="E145" t="s">
        <v>2716</v>
      </c>
      <c r="F145" t="s">
        <v>383</v>
      </c>
      <c r="G145" t="s">
        <v>2704</v>
      </c>
      <c r="H145" t="s">
        <v>2717</v>
      </c>
      <c r="I145" t="s">
        <v>2717</v>
      </c>
    </row>
    <row r="146" spans="1:16" x14ac:dyDescent="0.3">
      <c r="A146">
        <v>23</v>
      </c>
      <c r="B146" t="s">
        <v>274</v>
      </c>
      <c r="C146" t="s">
        <v>2716</v>
      </c>
      <c r="D146" t="s">
        <v>2716</v>
      </c>
      <c r="E146" t="s">
        <v>2716</v>
      </c>
      <c r="F146" t="s">
        <v>384</v>
      </c>
      <c r="G146" t="s">
        <v>2704</v>
      </c>
      <c r="H146" t="s">
        <v>2717</v>
      </c>
      <c r="I146" t="s">
        <v>2717</v>
      </c>
    </row>
    <row r="147" spans="1:16" x14ac:dyDescent="0.3">
      <c r="A147">
        <v>23</v>
      </c>
      <c r="B147" t="s">
        <v>276</v>
      </c>
      <c r="C147" t="s">
        <v>2716</v>
      </c>
      <c r="D147" t="s">
        <v>2716</v>
      </c>
      <c r="E147" t="s">
        <v>2716</v>
      </c>
      <c r="F147" t="s">
        <v>385</v>
      </c>
      <c r="G147" t="s">
        <v>2704</v>
      </c>
      <c r="H147" t="s">
        <v>2717</v>
      </c>
      <c r="I147" t="s">
        <v>2717</v>
      </c>
    </row>
    <row r="148" spans="1:16" x14ac:dyDescent="0.3">
      <c r="A148">
        <v>23</v>
      </c>
      <c r="B148" t="s">
        <v>278</v>
      </c>
      <c r="C148" t="s">
        <v>2716</v>
      </c>
      <c r="D148" t="s">
        <v>2716</v>
      </c>
      <c r="E148" t="s">
        <v>2716</v>
      </c>
      <c r="F148" t="s">
        <v>386</v>
      </c>
      <c r="G148" t="s">
        <v>2704</v>
      </c>
      <c r="H148" t="s">
        <v>2717</v>
      </c>
      <c r="I148" t="s">
        <v>2717</v>
      </c>
    </row>
    <row r="149" spans="1:16" x14ac:dyDescent="0.3">
      <c r="A149">
        <v>23</v>
      </c>
      <c r="B149" t="s">
        <v>280</v>
      </c>
      <c r="C149" t="s">
        <v>2716</v>
      </c>
      <c r="D149" t="s">
        <v>2716</v>
      </c>
      <c r="E149" t="s">
        <v>2716</v>
      </c>
      <c r="F149" t="s">
        <v>387</v>
      </c>
      <c r="G149" t="s">
        <v>2704</v>
      </c>
      <c r="H149" t="s">
        <v>2717</v>
      </c>
      <c r="I149" t="s">
        <v>2717</v>
      </c>
    </row>
    <row r="150" spans="1:16" x14ac:dyDescent="0.3">
      <c r="A150">
        <v>24</v>
      </c>
      <c r="B150" t="s">
        <v>274</v>
      </c>
      <c r="C150" t="s">
        <v>2716</v>
      </c>
      <c r="D150" t="s">
        <v>2716</v>
      </c>
      <c r="E150" t="s">
        <v>2716</v>
      </c>
      <c r="F150" t="s">
        <v>388</v>
      </c>
      <c r="G150" t="s">
        <v>2704</v>
      </c>
      <c r="H150" t="s">
        <v>2717</v>
      </c>
      <c r="I150" t="s">
        <v>2717</v>
      </c>
    </row>
    <row r="151" spans="1:16" x14ac:dyDescent="0.3">
      <c r="A151">
        <v>24</v>
      </c>
      <c r="B151" t="s">
        <v>276</v>
      </c>
      <c r="C151" t="s">
        <v>2716</v>
      </c>
      <c r="D151" t="s">
        <v>2716</v>
      </c>
      <c r="E151" t="s">
        <v>2716</v>
      </c>
      <c r="F151" t="s">
        <v>389</v>
      </c>
      <c r="G151" t="s">
        <v>2704</v>
      </c>
      <c r="H151" t="s">
        <v>2717</v>
      </c>
      <c r="I151" t="s">
        <v>2717</v>
      </c>
    </row>
    <row r="152" spans="1:16" x14ac:dyDescent="0.3">
      <c r="A152">
        <v>24</v>
      </c>
      <c r="B152" t="s">
        <v>278</v>
      </c>
      <c r="C152" t="s">
        <v>2716</v>
      </c>
      <c r="D152" t="s">
        <v>2716</v>
      </c>
      <c r="E152" t="s">
        <v>2716</v>
      </c>
      <c r="F152" t="s">
        <v>390</v>
      </c>
      <c r="G152" t="s">
        <v>2704</v>
      </c>
      <c r="H152" t="s">
        <v>2717</v>
      </c>
      <c r="I152" t="s">
        <v>2717</v>
      </c>
    </row>
    <row r="153" spans="1:16" x14ac:dyDescent="0.3">
      <c r="A153">
        <v>24</v>
      </c>
      <c r="B153" t="s">
        <v>280</v>
      </c>
      <c r="C153" t="s">
        <v>2716</v>
      </c>
      <c r="D153" t="s">
        <v>2716</v>
      </c>
      <c r="E153" t="s">
        <v>2716</v>
      </c>
      <c r="F153" t="s">
        <v>391</v>
      </c>
      <c r="G153" t="s">
        <v>2704</v>
      </c>
      <c r="H153" t="s">
        <v>2717</v>
      </c>
      <c r="I153" t="s">
        <v>2717</v>
      </c>
    </row>
    <row r="154" spans="1:16" x14ac:dyDescent="0.3">
      <c r="A154">
        <v>25</v>
      </c>
      <c r="B154" t="s">
        <v>274</v>
      </c>
      <c r="C154" t="s">
        <v>2716</v>
      </c>
      <c r="D154" t="s">
        <v>2716</v>
      </c>
      <c r="E154" t="s">
        <v>2716</v>
      </c>
      <c r="F154" t="s">
        <v>392</v>
      </c>
      <c r="G154" t="s">
        <v>2704</v>
      </c>
      <c r="H154" t="s">
        <v>2717</v>
      </c>
      <c r="I154" t="s">
        <v>2717</v>
      </c>
    </row>
    <row r="155" spans="1:16" x14ac:dyDescent="0.3">
      <c r="A155">
        <v>25</v>
      </c>
      <c r="B155" t="s">
        <v>276</v>
      </c>
      <c r="C155" t="s">
        <v>2716</v>
      </c>
      <c r="D155" t="s">
        <v>2716</v>
      </c>
      <c r="E155" t="s">
        <v>2716</v>
      </c>
      <c r="F155" t="s">
        <v>393</v>
      </c>
      <c r="G155" t="s">
        <v>2704</v>
      </c>
      <c r="H155" t="s">
        <v>2717</v>
      </c>
      <c r="I155" t="s">
        <v>2717</v>
      </c>
    </row>
    <row r="156" spans="1:16" x14ac:dyDescent="0.3">
      <c r="A156">
        <v>25</v>
      </c>
      <c r="B156" t="s">
        <v>278</v>
      </c>
      <c r="C156" t="s">
        <v>2716</v>
      </c>
      <c r="D156" t="s">
        <v>2716</v>
      </c>
      <c r="E156" t="s">
        <v>2716</v>
      </c>
      <c r="F156" t="s">
        <v>394</v>
      </c>
      <c r="G156" t="s">
        <v>2704</v>
      </c>
      <c r="H156" t="s">
        <v>2717</v>
      </c>
      <c r="I156" t="s">
        <v>2717</v>
      </c>
    </row>
    <row r="157" spans="1:16" x14ac:dyDescent="0.3">
      <c r="A157">
        <v>25</v>
      </c>
      <c r="B157" t="s">
        <v>280</v>
      </c>
      <c r="C157" t="s">
        <v>2716</v>
      </c>
      <c r="D157" t="s">
        <v>2716</v>
      </c>
      <c r="E157" t="s">
        <v>2716</v>
      </c>
      <c r="F157" t="s">
        <v>395</v>
      </c>
      <c r="G157" t="s">
        <v>2704</v>
      </c>
      <c r="H157" t="s">
        <v>2717</v>
      </c>
      <c r="I157" t="s">
        <v>2717</v>
      </c>
    </row>
    <row r="158" spans="1:16" x14ac:dyDescent="0.3">
      <c r="A158">
        <v>26</v>
      </c>
      <c r="B158" t="s">
        <v>274</v>
      </c>
      <c r="C158" t="s">
        <v>2897</v>
      </c>
      <c r="D158" t="s">
        <v>3078</v>
      </c>
      <c r="E158" t="s">
        <v>2898</v>
      </c>
      <c r="F158" t="s">
        <v>396</v>
      </c>
      <c r="G158" t="s">
        <v>2899</v>
      </c>
      <c r="H158" t="s">
        <v>2900</v>
      </c>
      <c r="I158" t="s">
        <v>2901</v>
      </c>
      <c r="N158" t="s">
        <v>2720</v>
      </c>
      <c r="O158" t="s">
        <v>2721</v>
      </c>
      <c r="P158">
        <v>44382</v>
      </c>
    </row>
    <row r="159" spans="1:16" x14ac:dyDescent="0.3">
      <c r="A159">
        <v>26</v>
      </c>
      <c r="B159" t="s">
        <v>276</v>
      </c>
      <c r="C159" t="s">
        <v>2902</v>
      </c>
      <c r="D159" t="s">
        <v>3079</v>
      </c>
      <c r="E159" t="s">
        <v>2903</v>
      </c>
      <c r="F159" t="s">
        <v>397</v>
      </c>
      <c r="G159" t="s">
        <v>2899</v>
      </c>
      <c r="H159" t="s">
        <v>2900</v>
      </c>
      <c r="I159" t="s">
        <v>2901</v>
      </c>
      <c r="N159" t="s">
        <v>2720</v>
      </c>
      <c r="O159" t="s">
        <v>2721</v>
      </c>
      <c r="P159">
        <v>44382</v>
      </c>
    </row>
    <row r="160" spans="1:16" x14ac:dyDescent="0.3">
      <c r="A160">
        <v>26</v>
      </c>
      <c r="B160" t="s">
        <v>278</v>
      </c>
      <c r="C160" t="s">
        <v>2904</v>
      </c>
      <c r="D160" t="s">
        <v>3080</v>
      </c>
      <c r="E160" t="s">
        <v>2903</v>
      </c>
      <c r="F160" t="s">
        <v>398</v>
      </c>
      <c r="G160" t="s">
        <v>2899</v>
      </c>
      <c r="H160" t="s">
        <v>2900</v>
      </c>
      <c r="I160" t="s">
        <v>2901</v>
      </c>
      <c r="N160" t="s">
        <v>2720</v>
      </c>
      <c r="O160" t="s">
        <v>2721</v>
      </c>
      <c r="P160">
        <v>44382</v>
      </c>
    </row>
    <row r="161" spans="1:16" x14ac:dyDescent="0.3">
      <c r="A161">
        <v>26</v>
      </c>
      <c r="B161" t="s">
        <v>280</v>
      </c>
      <c r="C161" t="s">
        <v>2716</v>
      </c>
      <c r="D161" t="s">
        <v>2716</v>
      </c>
      <c r="E161" t="s">
        <v>2716</v>
      </c>
      <c r="F161" t="s">
        <v>399</v>
      </c>
      <c r="G161" t="s">
        <v>2704</v>
      </c>
      <c r="H161" t="s">
        <v>2717</v>
      </c>
      <c r="I161" t="s">
        <v>2717</v>
      </c>
    </row>
    <row r="162" spans="1:16" x14ac:dyDescent="0.3">
      <c r="A162">
        <v>27</v>
      </c>
      <c r="B162" t="s">
        <v>274</v>
      </c>
      <c r="C162" t="s">
        <v>2905</v>
      </c>
      <c r="D162" t="s">
        <v>3081</v>
      </c>
      <c r="E162" t="s">
        <v>2906</v>
      </c>
      <c r="F162" t="s">
        <v>400</v>
      </c>
      <c r="G162" t="s">
        <v>2899</v>
      </c>
      <c r="H162" t="s">
        <v>2900</v>
      </c>
      <c r="I162" t="s">
        <v>2901</v>
      </c>
      <c r="N162" t="s">
        <v>2720</v>
      </c>
      <c r="O162" t="s">
        <v>2721</v>
      </c>
      <c r="P162">
        <v>44382</v>
      </c>
    </row>
    <row r="163" spans="1:16" x14ac:dyDescent="0.3">
      <c r="A163">
        <v>27</v>
      </c>
      <c r="B163" t="s">
        <v>276</v>
      </c>
      <c r="C163" t="s">
        <v>2907</v>
      </c>
      <c r="D163" t="s">
        <v>3082</v>
      </c>
      <c r="E163" t="s">
        <v>2906</v>
      </c>
      <c r="F163" t="s">
        <v>401</v>
      </c>
      <c r="G163" t="s">
        <v>2899</v>
      </c>
      <c r="H163" t="s">
        <v>2900</v>
      </c>
      <c r="I163" t="s">
        <v>2901</v>
      </c>
      <c r="N163" t="s">
        <v>2720</v>
      </c>
      <c r="O163" t="s">
        <v>2721</v>
      </c>
      <c r="P163">
        <v>44382</v>
      </c>
    </row>
    <row r="164" spans="1:16" x14ac:dyDescent="0.3">
      <c r="A164">
        <v>27</v>
      </c>
      <c r="B164" t="s">
        <v>278</v>
      </c>
      <c r="C164" t="s">
        <v>2908</v>
      </c>
      <c r="D164" t="s">
        <v>3083</v>
      </c>
      <c r="E164" t="s">
        <v>2909</v>
      </c>
      <c r="F164" t="s">
        <v>402</v>
      </c>
      <c r="G164" t="s">
        <v>2910</v>
      </c>
      <c r="I164" t="s">
        <v>2911</v>
      </c>
      <c r="N164" t="s">
        <v>2720</v>
      </c>
      <c r="O164" t="s">
        <v>2721</v>
      </c>
      <c r="P164">
        <v>44382</v>
      </c>
    </row>
    <row r="165" spans="1:16" x14ac:dyDescent="0.3">
      <c r="A165">
        <v>27</v>
      </c>
      <c r="B165" t="s">
        <v>280</v>
      </c>
      <c r="C165" t="s">
        <v>2912</v>
      </c>
      <c r="D165" t="s">
        <v>3084</v>
      </c>
      <c r="E165" t="s">
        <v>2913</v>
      </c>
      <c r="F165" t="s">
        <v>403</v>
      </c>
      <c r="G165" t="s">
        <v>2899</v>
      </c>
      <c r="H165" t="s">
        <v>2900</v>
      </c>
      <c r="I165" t="s">
        <v>2901</v>
      </c>
      <c r="N165" t="s">
        <v>2720</v>
      </c>
      <c r="O165" t="s">
        <v>2721</v>
      </c>
      <c r="P165">
        <v>44382</v>
      </c>
    </row>
    <row r="166" spans="1:16" x14ac:dyDescent="0.3">
      <c r="A166">
        <v>28</v>
      </c>
      <c r="B166" t="s">
        <v>274</v>
      </c>
      <c r="C166" t="s">
        <v>2914</v>
      </c>
      <c r="D166" t="s">
        <v>3085</v>
      </c>
      <c r="E166" t="s">
        <v>2909</v>
      </c>
      <c r="F166" t="s">
        <v>404</v>
      </c>
      <c r="G166" t="s">
        <v>2910</v>
      </c>
      <c r="I166" t="s">
        <v>2911</v>
      </c>
      <c r="N166" t="s">
        <v>2720</v>
      </c>
      <c r="O166" t="s">
        <v>2721</v>
      </c>
      <c r="P166">
        <v>44382</v>
      </c>
    </row>
    <row r="167" spans="1:16" x14ac:dyDescent="0.3">
      <c r="A167">
        <v>28</v>
      </c>
      <c r="B167" t="s">
        <v>276</v>
      </c>
      <c r="C167" t="s">
        <v>2915</v>
      </c>
      <c r="D167" t="s">
        <v>3086</v>
      </c>
      <c r="E167" t="s">
        <v>2916</v>
      </c>
      <c r="F167" t="s">
        <v>405</v>
      </c>
      <c r="G167" t="s">
        <v>2899</v>
      </c>
      <c r="H167" t="s">
        <v>2900</v>
      </c>
      <c r="I167" t="s">
        <v>2901</v>
      </c>
      <c r="N167" t="s">
        <v>2720</v>
      </c>
      <c r="O167" t="s">
        <v>2721</v>
      </c>
      <c r="P167">
        <v>44382</v>
      </c>
    </row>
    <row r="168" spans="1:16" x14ac:dyDescent="0.3">
      <c r="A168">
        <v>28</v>
      </c>
      <c r="B168" t="s">
        <v>278</v>
      </c>
      <c r="C168" t="s">
        <v>2917</v>
      </c>
      <c r="D168" t="s">
        <v>3087</v>
      </c>
      <c r="E168" t="s">
        <v>2909</v>
      </c>
      <c r="F168" t="s">
        <v>406</v>
      </c>
      <c r="G168" t="s">
        <v>2910</v>
      </c>
      <c r="I168" t="s">
        <v>2911</v>
      </c>
      <c r="N168" t="s">
        <v>2720</v>
      </c>
      <c r="O168" t="s">
        <v>2721</v>
      </c>
      <c r="P168">
        <v>44382</v>
      </c>
    </row>
    <row r="169" spans="1:16" x14ac:dyDescent="0.3">
      <c r="A169">
        <v>28</v>
      </c>
      <c r="B169" t="s">
        <v>280</v>
      </c>
      <c r="C169" t="s">
        <v>2918</v>
      </c>
      <c r="D169" t="s">
        <v>3088</v>
      </c>
      <c r="E169" t="s">
        <v>2919</v>
      </c>
      <c r="F169" t="s">
        <v>407</v>
      </c>
      <c r="G169" t="s">
        <v>2899</v>
      </c>
      <c r="H169" t="s">
        <v>2900</v>
      </c>
      <c r="I169" t="s">
        <v>2901</v>
      </c>
      <c r="N169" t="s">
        <v>2720</v>
      </c>
      <c r="O169" t="s">
        <v>2721</v>
      </c>
      <c r="P169">
        <v>44382</v>
      </c>
    </row>
    <row r="170" spans="1:16" x14ac:dyDescent="0.3">
      <c r="A170">
        <v>29</v>
      </c>
      <c r="B170" t="s">
        <v>274</v>
      </c>
      <c r="C170" t="s">
        <v>2920</v>
      </c>
      <c r="D170" t="s">
        <v>3089</v>
      </c>
      <c r="E170" t="s">
        <v>2909</v>
      </c>
      <c r="F170" t="s">
        <v>408</v>
      </c>
      <c r="G170" t="s">
        <v>2910</v>
      </c>
      <c r="I170" t="s">
        <v>2911</v>
      </c>
      <c r="N170" t="s">
        <v>2720</v>
      </c>
      <c r="O170" t="s">
        <v>2721</v>
      </c>
      <c r="P170">
        <v>44382</v>
      </c>
    </row>
    <row r="171" spans="1:16" x14ac:dyDescent="0.3">
      <c r="A171">
        <v>29</v>
      </c>
      <c r="B171" t="s">
        <v>276</v>
      </c>
      <c r="C171" t="s">
        <v>2921</v>
      </c>
      <c r="D171" t="s">
        <v>3090</v>
      </c>
      <c r="E171" t="s">
        <v>2922</v>
      </c>
      <c r="F171" t="s">
        <v>409</v>
      </c>
      <c r="G171" t="s">
        <v>2899</v>
      </c>
      <c r="H171" t="s">
        <v>2900</v>
      </c>
      <c r="I171" t="s">
        <v>2901</v>
      </c>
      <c r="N171" t="s">
        <v>2720</v>
      </c>
      <c r="O171" t="s">
        <v>2721</v>
      </c>
      <c r="P171">
        <v>44382</v>
      </c>
    </row>
    <row r="172" spans="1:16" x14ac:dyDescent="0.3">
      <c r="A172">
        <v>29</v>
      </c>
      <c r="B172" t="s">
        <v>278</v>
      </c>
      <c r="C172" t="s">
        <v>2923</v>
      </c>
      <c r="D172" t="s">
        <v>3091</v>
      </c>
      <c r="E172" t="s">
        <v>2909</v>
      </c>
      <c r="F172" t="s">
        <v>410</v>
      </c>
      <c r="G172" t="s">
        <v>2910</v>
      </c>
      <c r="I172" t="s">
        <v>2911</v>
      </c>
      <c r="N172" t="s">
        <v>2720</v>
      </c>
      <c r="O172" t="s">
        <v>2721</v>
      </c>
      <c r="P172">
        <v>44382</v>
      </c>
    </row>
    <row r="173" spans="1:16" x14ac:dyDescent="0.3">
      <c r="A173">
        <v>29</v>
      </c>
      <c r="B173" t="s">
        <v>280</v>
      </c>
      <c r="C173" t="s">
        <v>2924</v>
      </c>
      <c r="D173" t="s">
        <v>3092</v>
      </c>
      <c r="E173" t="s">
        <v>2925</v>
      </c>
      <c r="F173" t="s">
        <v>411</v>
      </c>
      <c r="G173" t="s">
        <v>2899</v>
      </c>
      <c r="H173" t="s">
        <v>2900</v>
      </c>
      <c r="I173" t="s">
        <v>2901</v>
      </c>
      <c r="N173" t="s">
        <v>2720</v>
      </c>
      <c r="O173" t="s">
        <v>2721</v>
      </c>
      <c r="P173">
        <v>44382</v>
      </c>
    </row>
    <row r="174" spans="1:16" x14ac:dyDescent="0.3">
      <c r="A174">
        <v>30</v>
      </c>
      <c r="B174" t="s">
        <v>274</v>
      </c>
      <c r="C174" t="s">
        <v>2926</v>
      </c>
      <c r="D174" t="s">
        <v>3093</v>
      </c>
      <c r="E174" t="s">
        <v>2909</v>
      </c>
      <c r="F174" t="s">
        <v>412</v>
      </c>
      <c r="G174" t="s">
        <v>2910</v>
      </c>
      <c r="I174" t="s">
        <v>2911</v>
      </c>
      <c r="N174" t="s">
        <v>2720</v>
      </c>
      <c r="O174" t="s">
        <v>2721</v>
      </c>
      <c r="P174">
        <v>44382</v>
      </c>
    </row>
    <row r="175" spans="1:16" x14ac:dyDescent="0.3">
      <c r="A175">
        <v>30</v>
      </c>
      <c r="B175" t="s">
        <v>276</v>
      </c>
      <c r="C175" t="s">
        <v>2927</v>
      </c>
      <c r="D175" t="s">
        <v>3094</v>
      </c>
      <c r="E175" t="s">
        <v>2928</v>
      </c>
      <c r="F175" t="s">
        <v>413</v>
      </c>
      <c r="G175" t="s">
        <v>2899</v>
      </c>
      <c r="H175" t="s">
        <v>2900</v>
      </c>
      <c r="I175" t="s">
        <v>2901</v>
      </c>
      <c r="N175" t="s">
        <v>2720</v>
      </c>
      <c r="O175" t="s">
        <v>2721</v>
      </c>
      <c r="P175">
        <v>44382</v>
      </c>
    </row>
    <row r="176" spans="1:16" x14ac:dyDescent="0.3">
      <c r="A176">
        <v>30</v>
      </c>
      <c r="B176" t="s">
        <v>278</v>
      </c>
      <c r="C176" t="s">
        <v>2929</v>
      </c>
      <c r="D176" t="s">
        <v>3095</v>
      </c>
      <c r="E176" t="s">
        <v>2909</v>
      </c>
      <c r="F176" t="s">
        <v>414</v>
      </c>
      <c r="G176" t="s">
        <v>2910</v>
      </c>
      <c r="I176" t="s">
        <v>2911</v>
      </c>
      <c r="N176" t="s">
        <v>2720</v>
      </c>
      <c r="O176" t="s">
        <v>2721</v>
      </c>
      <c r="P176">
        <v>44382</v>
      </c>
    </row>
    <row r="177" spans="1:16" x14ac:dyDescent="0.3">
      <c r="A177">
        <v>30</v>
      </c>
      <c r="B177" t="s">
        <v>280</v>
      </c>
      <c r="C177" t="s">
        <v>2716</v>
      </c>
      <c r="D177" t="s">
        <v>2716</v>
      </c>
      <c r="E177" t="s">
        <v>2716</v>
      </c>
      <c r="F177" t="s">
        <v>415</v>
      </c>
      <c r="G177" t="s">
        <v>2704</v>
      </c>
      <c r="H177" t="s">
        <v>2717</v>
      </c>
      <c r="I177" t="s">
        <v>2717</v>
      </c>
    </row>
    <row r="178" spans="1:16" x14ac:dyDescent="0.3">
      <c r="A178">
        <v>31</v>
      </c>
      <c r="B178" t="s">
        <v>274</v>
      </c>
      <c r="C178" t="s">
        <v>2930</v>
      </c>
      <c r="D178" t="s">
        <v>3096</v>
      </c>
      <c r="E178" t="s">
        <v>2909</v>
      </c>
      <c r="F178" t="s">
        <v>416</v>
      </c>
      <c r="G178" t="s">
        <v>2910</v>
      </c>
      <c r="I178" t="s">
        <v>2911</v>
      </c>
      <c r="N178" t="s">
        <v>2720</v>
      </c>
      <c r="O178" t="s">
        <v>2721</v>
      </c>
      <c r="P178">
        <v>44382</v>
      </c>
    </row>
    <row r="179" spans="1:16" x14ac:dyDescent="0.3">
      <c r="A179">
        <v>31</v>
      </c>
      <c r="B179" t="s">
        <v>276</v>
      </c>
      <c r="C179" t="s">
        <v>2931</v>
      </c>
      <c r="D179" t="s">
        <v>3097</v>
      </c>
      <c r="E179" t="s">
        <v>2932</v>
      </c>
      <c r="F179" t="s">
        <v>417</v>
      </c>
      <c r="G179" t="s">
        <v>2899</v>
      </c>
      <c r="H179" t="s">
        <v>2900</v>
      </c>
      <c r="I179" t="s">
        <v>2901</v>
      </c>
      <c r="N179" t="s">
        <v>2720</v>
      </c>
      <c r="O179" t="s">
        <v>2721</v>
      </c>
      <c r="P179">
        <v>44382</v>
      </c>
    </row>
    <row r="180" spans="1:16" x14ac:dyDescent="0.3">
      <c r="A180">
        <v>31</v>
      </c>
      <c r="B180" t="s">
        <v>278</v>
      </c>
      <c r="C180" t="s">
        <v>2933</v>
      </c>
      <c r="D180" t="s">
        <v>3098</v>
      </c>
      <c r="E180" t="s">
        <v>2909</v>
      </c>
      <c r="F180" t="s">
        <v>2934</v>
      </c>
      <c r="G180" t="s">
        <v>2910</v>
      </c>
      <c r="I180" t="s">
        <v>2911</v>
      </c>
      <c r="N180" t="s">
        <v>2720</v>
      </c>
      <c r="O180" t="s">
        <v>2721</v>
      </c>
      <c r="P180">
        <v>44382</v>
      </c>
    </row>
    <row r="181" spans="1:16" x14ac:dyDescent="0.3">
      <c r="A181">
        <v>31</v>
      </c>
      <c r="B181" t="s">
        <v>280</v>
      </c>
      <c r="C181" t="s">
        <v>2935</v>
      </c>
      <c r="D181" t="s">
        <v>3099</v>
      </c>
      <c r="E181" t="s">
        <v>2936</v>
      </c>
      <c r="F181" t="s">
        <v>2937</v>
      </c>
      <c r="G181" t="s">
        <v>2899</v>
      </c>
      <c r="H181" t="s">
        <v>2900</v>
      </c>
      <c r="I181" t="s">
        <v>2901</v>
      </c>
      <c r="N181" t="s">
        <v>2720</v>
      </c>
      <c r="O181" t="s">
        <v>2721</v>
      </c>
      <c r="P181">
        <v>44382</v>
      </c>
    </row>
    <row r="182" spans="1:16" x14ac:dyDescent="0.3">
      <c r="A182">
        <v>32</v>
      </c>
      <c r="B182" t="s">
        <v>274</v>
      </c>
      <c r="C182" t="s">
        <v>2938</v>
      </c>
      <c r="D182" t="s">
        <v>3100</v>
      </c>
      <c r="E182" t="s">
        <v>2909</v>
      </c>
      <c r="F182" t="s">
        <v>2939</v>
      </c>
      <c r="G182" t="s">
        <v>2910</v>
      </c>
      <c r="I182" t="s">
        <v>2911</v>
      </c>
      <c r="N182" t="s">
        <v>2720</v>
      </c>
      <c r="O182" t="s">
        <v>2721</v>
      </c>
      <c r="P182">
        <v>44382</v>
      </c>
    </row>
    <row r="183" spans="1:16" x14ac:dyDescent="0.3">
      <c r="A183">
        <v>32</v>
      </c>
      <c r="B183" t="s">
        <v>276</v>
      </c>
      <c r="C183" t="s">
        <v>2940</v>
      </c>
      <c r="D183" t="s">
        <v>3101</v>
      </c>
      <c r="E183" t="s">
        <v>2909</v>
      </c>
      <c r="F183" t="s">
        <v>2941</v>
      </c>
      <c r="G183" t="s">
        <v>2910</v>
      </c>
      <c r="I183" t="s">
        <v>2911</v>
      </c>
      <c r="N183" t="s">
        <v>2720</v>
      </c>
      <c r="O183" t="s">
        <v>2721</v>
      </c>
      <c r="P183">
        <v>44382</v>
      </c>
    </row>
    <row r="184" spans="1:16" x14ac:dyDescent="0.3">
      <c r="A184">
        <v>32</v>
      </c>
      <c r="B184" t="s">
        <v>278</v>
      </c>
      <c r="C184" t="s">
        <v>2942</v>
      </c>
      <c r="D184" t="s">
        <v>3102</v>
      </c>
      <c r="E184" t="s">
        <v>2909</v>
      </c>
      <c r="F184" t="s">
        <v>2943</v>
      </c>
      <c r="G184" t="s">
        <v>2910</v>
      </c>
      <c r="I184" t="s">
        <v>2911</v>
      </c>
      <c r="N184" t="s">
        <v>2720</v>
      </c>
      <c r="O184" t="s">
        <v>2721</v>
      </c>
      <c r="P184">
        <v>44382</v>
      </c>
    </row>
    <row r="185" spans="1:16" x14ac:dyDescent="0.3">
      <c r="A185">
        <v>32</v>
      </c>
      <c r="B185" t="s">
        <v>280</v>
      </c>
      <c r="C185" t="s">
        <v>2944</v>
      </c>
      <c r="D185" t="s">
        <v>3103</v>
      </c>
      <c r="E185" t="s">
        <v>2909</v>
      </c>
      <c r="F185" t="s">
        <v>2945</v>
      </c>
      <c r="G185" t="s">
        <v>2910</v>
      </c>
      <c r="I185" t="s">
        <v>2911</v>
      </c>
      <c r="N185" t="s">
        <v>2720</v>
      </c>
      <c r="O185" t="s">
        <v>2721</v>
      </c>
      <c r="P185">
        <v>44382</v>
      </c>
    </row>
    <row r="186" spans="1:16" x14ac:dyDescent="0.3">
      <c r="A186">
        <v>33</v>
      </c>
      <c r="B186" t="s">
        <v>274</v>
      </c>
      <c r="C186" t="s">
        <v>2946</v>
      </c>
      <c r="D186" t="s">
        <v>3104</v>
      </c>
      <c r="E186" t="s">
        <v>2947</v>
      </c>
      <c r="F186" t="s">
        <v>2948</v>
      </c>
      <c r="G186" t="s">
        <v>2899</v>
      </c>
      <c r="H186" t="s">
        <v>2900</v>
      </c>
      <c r="I186" t="s">
        <v>2901</v>
      </c>
      <c r="N186" t="s">
        <v>2720</v>
      </c>
      <c r="O186" t="s">
        <v>2721</v>
      </c>
      <c r="P186">
        <v>44382</v>
      </c>
    </row>
    <row r="187" spans="1:16" x14ac:dyDescent="0.3">
      <c r="A187">
        <v>33</v>
      </c>
      <c r="B187" t="s">
        <v>276</v>
      </c>
      <c r="C187" t="s">
        <v>2949</v>
      </c>
      <c r="D187" t="s">
        <v>3105</v>
      </c>
      <c r="E187" t="s">
        <v>2909</v>
      </c>
      <c r="F187" t="s">
        <v>2950</v>
      </c>
      <c r="G187" t="s">
        <v>2910</v>
      </c>
      <c r="I187" t="s">
        <v>2911</v>
      </c>
      <c r="N187" t="s">
        <v>2720</v>
      </c>
      <c r="O187" t="s">
        <v>2721</v>
      </c>
      <c r="P187">
        <v>44382</v>
      </c>
    </row>
    <row r="188" spans="1:16" x14ac:dyDescent="0.3">
      <c r="A188">
        <v>33</v>
      </c>
      <c r="B188" t="s">
        <v>278</v>
      </c>
      <c r="C188" t="s">
        <v>2951</v>
      </c>
      <c r="D188" t="s">
        <v>3106</v>
      </c>
      <c r="E188" t="s">
        <v>2909</v>
      </c>
      <c r="F188" t="s">
        <v>2952</v>
      </c>
      <c r="G188" t="s">
        <v>2910</v>
      </c>
      <c r="I188" t="s">
        <v>2911</v>
      </c>
      <c r="N188" t="s">
        <v>2720</v>
      </c>
      <c r="O188" t="s">
        <v>2721</v>
      </c>
      <c r="P188">
        <v>44382</v>
      </c>
    </row>
    <row r="189" spans="1:16" x14ac:dyDescent="0.3">
      <c r="A189">
        <v>33</v>
      </c>
      <c r="B189" t="s">
        <v>280</v>
      </c>
      <c r="C189" t="s">
        <v>2716</v>
      </c>
      <c r="D189" t="s">
        <v>2716</v>
      </c>
      <c r="E189" t="s">
        <v>2716</v>
      </c>
      <c r="F189" t="s">
        <v>2953</v>
      </c>
      <c r="G189" t="s">
        <v>2704</v>
      </c>
      <c r="H189" t="s">
        <v>2717</v>
      </c>
      <c r="I189" t="s">
        <v>2717</v>
      </c>
    </row>
    <row r="190" spans="1:16" x14ac:dyDescent="0.3">
      <c r="A190">
        <v>34</v>
      </c>
      <c r="B190" t="s">
        <v>274</v>
      </c>
      <c r="C190" t="s">
        <v>2954</v>
      </c>
      <c r="D190" t="s">
        <v>3107</v>
      </c>
      <c r="E190" t="s">
        <v>2955</v>
      </c>
      <c r="F190" t="s">
        <v>2956</v>
      </c>
      <c r="G190" t="s">
        <v>2899</v>
      </c>
      <c r="H190" t="s">
        <v>2842</v>
      </c>
      <c r="I190" t="s">
        <v>2901</v>
      </c>
      <c r="N190" t="s">
        <v>2720</v>
      </c>
      <c r="O190" t="s">
        <v>2721</v>
      </c>
      <c r="P190">
        <v>44382</v>
      </c>
    </row>
    <row r="191" spans="1:16" x14ac:dyDescent="0.3">
      <c r="A191">
        <v>34</v>
      </c>
      <c r="B191" t="s">
        <v>276</v>
      </c>
      <c r="C191" t="s">
        <v>2957</v>
      </c>
      <c r="D191" t="s">
        <v>3108</v>
      </c>
      <c r="E191" t="s">
        <v>2958</v>
      </c>
      <c r="F191" t="s">
        <v>2959</v>
      </c>
      <c r="G191" t="s">
        <v>2899</v>
      </c>
      <c r="H191" t="s">
        <v>2842</v>
      </c>
      <c r="I191" t="s">
        <v>2901</v>
      </c>
      <c r="N191" t="s">
        <v>2720</v>
      </c>
      <c r="O191" t="s">
        <v>2721</v>
      </c>
      <c r="P191">
        <v>44382</v>
      </c>
    </row>
    <row r="192" spans="1:16" x14ac:dyDescent="0.3">
      <c r="A192">
        <v>34</v>
      </c>
      <c r="B192" t="s">
        <v>278</v>
      </c>
      <c r="C192" t="s">
        <v>2960</v>
      </c>
      <c r="D192" t="s">
        <v>3109</v>
      </c>
      <c r="E192" t="s">
        <v>2958</v>
      </c>
      <c r="F192" t="s">
        <v>2961</v>
      </c>
      <c r="G192" t="s">
        <v>2899</v>
      </c>
      <c r="H192" t="s">
        <v>2842</v>
      </c>
      <c r="I192" t="s">
        <v>2901</v>
      </c>
      <c r="N192" t="s">
        <v>2720</v>
      </c>
      <c r="O192" t="s">
        <v>2721</v>
      </c>
      <c r="P192">
        <v>44382</v>
      </c>
    </row>
    <row r="193" spans="1:16" x14ac:dyDescent="0.3">
      <c r="A193">
        <v>34</v>
      </c>
      <c r="B193" t="s">
        <v>280</v>
      </c>
      <c r="C193" t="s">
        <v>2716</v>
      </c>
      <c r="D193" t="s">
        <v>2716</v>
      </c>
      <c r="E193" t="s">
        <v>2716</v>
      </c>
      <c r="F193" t="s">
        <v>2962</v>
      </c>
      <c r="G193" t="s">
        <v>2704</v>
      </c>
      <c r="H193" t="s">
        <v>2717</v>
      </c>
      <c r="I193" t="s">
        <v>2717</v>
      </c>
    </row>
    <row r="194" spans="1:16" x14ac:dyDescent="0.3">
      <c r="A194">
        <v>35</v>
      </c>
      <c r="B194" t="s">
        <v>274</v>
      </c>
      <c r="C194" t="s">
        <v>2963</v>
      </c>
      <c r="D194" t="s">
        <v>3110</v>
      </c>
      <c r="E194" t="s">
        <v>2964</v>
      </c>
      <c r="F194" t="s">
        <v>2965</v>
      </c>
      <c r="G194" t="s">
        <v>2899</v>
      </c>
      <c r="H194" t="s">
        <v>2842</v>
      </c>
      <c r="I194" t="s">
        <v>2901</v>
      </c>
    </row>
    <row r="195" spans="1:16" x14ac:dyDescent="0.3">
      <c r="A195">
        <v>35</v>
      </c>
      <c r="B195" t="s">
        <v>276</v>
      </c>
      <c r="C195" t="s">
        <v>2966</v>
      </c>
      <c r="D195" t="s">
        <v>3111</v>
      </c>
      <c r="E195" t="s">
        <v>2964</v>
      </c>
      <c r="F195" t="s">
        <v>2967</v>
      </c>
      <c r="G195" t="s">
        <v>2899</v>
      </c>
      <c r="H195" t="s">
        <v>2842</v>
      </c>
      <c r="I195" t="s">
        <v>2901</v>
      </c>
    </row>
    <row r="196" spans="1:16" x14ac:dyDescent="0.3">
      <c r="A196">
        <v>35</v>
      </c>
      <c r="B196" t="s">
        <v>278</v>
      </c>
      <c r="C196" t="s">
        <v>2716</v>
      </c>
      <c r="D196" t="s">
        <v>2716</v>
      </c>
      <c r="E196" t="s">
        <v>2716</v>
      </c>
      <c r="F196" t="s">
        <v>2968</v>
      </c>
      <c r="G196" t="s">
        <v>2704</v>
      </c>
      <c r="H196" t="s">
        <v>2717</v>
      </c>
      <c r="I196" t="s">
        <v>2717</v>
      </c>
    </row>
    <row r="197" spans="1:16" x14ac:dyDescent="0.3">
      <c r="A197">
        <v>35</v>
      </c>
      <c r="B197" t="s">
        <v>280</v>
      </c>
      <c r="C197" t="s">
        <v>2716</v>
      </c>
      <c r="D197" t="s">
        <v>2716</v>
      </c>
      <c r="E197" t="s">
        <v>2716</v>
      </c>
      <c r="F197" t="s">
        <v>2969</v>
      </c>
      <c r="G197" t="s">
        <v>2704</v>
      </c>
      <c r="H197" t="s">
        <v>2717</v>
      </c>
      <c r="I197" t="s">
        <v>2717</v>
      </c>
    </row>
    <row r="198" spans="1:16" x14ac:dyDescent="0.3">
      <c r="A198">
        <v>36</v>
      </c>
      <c r="B198" t="s">
        <v>274</v>
      </c>
      <c r="C198" t="s">
        <v>2970</v>
      </c>
      <c r="D198" t="s">
        <v>3112</v>
      </c>
      <c r="E198" t="s">
        <v>2971</v>
      </c>
      <c r="F198" t="s">
        <v>2972</v>
      </c>
      <c r="G198" t="s">
        <v>2910</v>
      </c>
      <c r="I198" t="s">
        <v>2911</v>
      </c>
      <c r="N198" t="s">
        <v>2720</v>
      </c>
      <c r="O198" t="s">
        <v>2721</v>
      </c>
      <c r="P198">
        <v>44382</v>
      </c>
    </row>
    <row r="199" spans="1:16" x14ac:dyDescent="0.3">
      <c r="A199">
        <v>36</v>
      </c>
      <c r="B199" t="s">
        <v>276</v>
      </c>
      <c r="C199" t="s">
        <v>2973</v>
      </c>
      <c r="D199" t="s">
        <v>3113</v>
      </c>
      <c r="E199" t="s">
        <v>2974</v>
      </c>
      <c r="F199" t="s">
        <v>2975</v>
      </c>
      <c r="G199" t="s">
        <v>2899</v>
      </c>
      <c r="H199" t="s">
        <v>2900</v>
      </c>
      <c r="I199" t="s">
        <v>2901</v>
      </c>
      <c r="N199" t="s">
        <v>2720</v>
      </c>
      <c r="O199" t="s">
        <v>2721</v>
      </c>
      <c r="P199">
        <v>44382</v>
      </c>
    </row>
    <row r="200" spans="1:16" x14ac:dyDescent="0.3">
      <c r="A200">
        <v>36</v>
      </c>
      <c r="B200" t="s">
        <v>278</v>
      </c>
      <c r="C200" t="s">
        <v>2976</v>
      </c>
      <c r="D200" t="s">
        <v>3114</v>
      </c>
      <c r="E200" t="s">
        <v>2971</v>
      </c>
      <c r="F200" t="s">
        <v>2977</v>
      </c>
      <c r="G200" t="s">
        <v>2910</v>
      </c>
      <c r="I200" t="s">
        <v>2911</v>
      </c>
      <c r="N200" t="s">
        <v>2720</v>
      </c>
      <c r="O200" t="s">
        <v>2721</v>
      </c>
      <c r="P200">
        <v>44382</v>
      </c>
    </row>
    <row r="201" spans="1:16" x14ac:dyDescent="0.3">
      <c r="A201">
        <v>36</v>
      </c>
      <c r="B201" t="s">
        <v>280</v>
      </c>
      <c r="C201" t="s">
        <v>2978</v>
      </c>
      <c r="D201" t="s">
        <v>3115</v>
      </c>
      <c r="E201" t="s">
        <v>2979</v>
      </c>
      <c r="F201" t="s">
        <v>2980</v>
      </c>
      <c r="G201" t="s">
        <v>2899</v>
      </c>
      <c r="H201" t="s">
        <v>2900</v>
      </c>
      <c r="I201" t="s">
        <v>2901</v>
      </c>
      <c r="N201" t="s">
        <v>2720</v>
      </c>
      <c r="O201" t="s">
        <v>2721</v>
      </c>
      <c r="P201">
        <v>44382</v>
      </c>
    </row>
    <row r="202" spans="1:16" x14ac:dyDescent="0.3">
      <c r="A202">
        <v>37</v>
      </c>
      <c r="B202" t="s">
        <v>274</v>
      </c>
      <c r="C202" t="s">
        <v>2981</v>
      </c>
      <c r="D202" t="s">
        <v>3116</v>
      </c>
      <c r="E202" t="s">
        <v>2971</v>
      </c>
      <c r="F202" t="s">
        <v>2982</v>
      </c>
      <c r="G202" t="s">
        <v>2910</v>
      </c>
      <c r="I202" t="s">
        <v>2911</v>
      </c>
      <c r="N202" t="s">
        <v>2720</v>
      </c>
      <c r="O202" t="s">
        <v>2721</v>
      </c>
      <c r="P202">
        <v>44382</v>
      </c>
    </row>
    <row r="203" spans="1:16" x14ac:dyDescent="0.3">
      <c r="A203">
        <v>37</v>
      </c>
      <c r="B203" t="s">
        <v>276</v>
      </c>
      <c r="C203" t="s">
        <v>2983</v>
      </c>
      <c r="D203" t="s">
        <v>3117</v>
      </c>
      <c r="E203" t="s">
        <v>2984</v>
      </c>
      <c r="F203" t="s">
        <v>2985</v>
      </c>
      <c r="G203" t="s">
        <v>2899</v>
      </c>
      <c r="H203" t="s">
        <v>2900</v>
      </c>
      <c r="I203" t="s">
        <v>2901</v>
      </c>
      <c r="N203" t="s">
        <v>2720</v>
      </c>
      <c r="O203" t="s">
        <v>2721</v>
      </c>
      <c r="P203">
        <v>44382</v>
      </c>
    </row>
    <row r="204" spans="1:16" x14ac:dyDescent="0.3">
      <c r="A204">
        <v>37</v>
      </c>
      <c r="B204" t="s">
        <v>278</v>
      </c>
      <c r="C204" t="s">
        <v>2986</v>
      </c>
      <c r="D204" t="s">
        <v>3118</v>
      </c>
      <c r="E204" t="s">
        <v>2971</v>
      </c>
      <c r="F204" t="s">
        <v>2987</v>
      </c>
      <c r="G204" t="s">
        <v>2910</v>
      </c>
      <c r="I204" t="s">
        <v>2911</v>
      </c>
      <c r="N204" t="s">
        <v>2720</v>
      </c>
      <c r="O204" t="s">
        <v>2721</v>
      </c>
      <c r="P204">
        <v>44382</v>
      </c>
    </row>
    <row r="205" spans="1:16" x14ac:dyDescent="0.3">
      <c r="A205">
        <v>37</v>
      </c>
      <c r="B205" t="s">
        <v>280</v>
      </c>
      <c r="C205" t="s">
        <v>2988</v>
      </c>
      <c r="D205" t="s">
        <v>3119</v>
      </c>
      <c r="E205" t="s">
        <v>2989</v>
      </c>
      <c r="F205" t="s">
        <v>2990</v>
      </c>
      <c r="G205" t="s">
        <v>2899</v>
      </c>
      <c r="H205" t="s">
        <v>2900</v>
      </c>
      <c r="I205" t="s">
        <v>2901</v>
      </c>
      <c r="N205" t="s">
        <v>2720</v>
      </c>
      <c r="O205" t="s">
        <v>2721</v>
      </c>
      <c r="P205">
        <v>44382</v>
      </c>
    </row>
    <row r="206" spans="1:16" x14ac:dyDescent="0.3">
      <c r="A206">
        <v>38</v>
      </c>
      <c r="B206" t="s">
        <v>274</v>
      </c>
      <c r="C206" t="s">
        <v>2991</v>
      </c>
      <c r="D206" t="s">
        <v>3120</v>
      </c>
      <c r="E206" t="s">
        <v>2971</v>
      </c>
      <c r="F206" t="s">
        <v>2992</v>
      </c>
      <c r="G206" t="s">
        <v>2910</v>
      </c>
      <c r="I206" t="s">
        <v>2911</v>
      </c>
      <c r="N206" t="s">
        <v>2720</v>
      </c>
      <c r="O206" t="s">
        <v>2721</v>
      </c>
      <c r="P206">
        <v>44382</v>
      </c>
    </row>
    <row r="207" spans="1:16" x14ac:dyDescent="0.3">
      <c r="A207">
        <v>38</v>
      </c>
      <c r="B207" t="s">
        <v>276</v>
      </c>
      <c r="C207" t="s">
        <v>2993</v>
      </c>
      <c r="D207" t="s">
        <v>3121</v>
      </c>
      <c r="E207" t="s">
        <v>2994</v>
      </c>
      <c r="F207" t="s">
        <v>2995</v>
      </c>
      <c r="G207" t="s">
        <v>2899</v>
      </c>
      <c r="H207" t="s">
        <v>2900</v>
      </c>
      <c r="I207" t="s">
        <v>2901</v>
      </c>
      <c r="N207" t="s">
        <v>2720</v>
      </c>
      <c r="O207" t="s">
        <v>2721</v>
      </c>
      <c r="P207">
        <v>44382</v>
      </c>
    </row>
    <row r="208" spans="1:16" x14ac:dyDescent="0.3">
      <c r="A208">
        <v>38</v>
      </c>
      <c r="B208" t="s">
        <v>278</v>
      </c>
      <c r="C208" t="s">
        <v>2996</v>
      </c>
      <c r="D208" t="s">
        <v>3122</v>
      </c>
      <c r="E208" t="s">
        <v>2971</v>
      </c>
      <c r="F208" t="s">
        <v>2997</v>
      </c>
      <c r="G208" t="s">
        <v>2910</v>
      </c>
      <c r="I208" t="s">
        <v>2911</v>
      </c>
      <c r="N208" t="s">
        <v>2720</v>
      </c>
      <c r="O208" t="s">
        <v>2721</v>
      </c>
      <c r="P208">
        <v>44382</v>
      </c>
    </row>
    <row r="209" spans="1:16" x14ac:dyDescent="0.3">
      <c r="A209">
        <v>38</v>
      </c>
      <c r="B209" t="s">
        <v>280</v>
      </c>
      <c r="C209" t="s">
        <v>2998</v>
      </c>
      <c r="D209" t="s">
        <v>3123</v>
      </c>
      <c r="E209" t="s">
        <v>2999</v>
      </c>
      <c r="F209" t="s">
        <v>3000</v>
      </c>
      <c r="G209" t="s">
        <v>2899</v>
      </c>
      <c r="H209" t="s">
        <v>2900</v>
      </c>
      <c r="I209" t="s">
        <v>2901</v>
      </c>
      <c r="N209" t="s">
        <v>2720</v>
      </c>
      <c r="O209" t="s">
        <v>2721</v>
      </c>
      <c r="P209">
        <v>44382</v>
      </c>
    </row>
    <row r="210" spans="1:16" x14ac:dyDescent="0.3">
      <c r="A210">
        <v>39</v>
      </c>
      <c r="B210" t="s">
        <v>274</v>
      </c>
      <c r="C210" t="s">
        <v>3001</v>
      </c>
      <c r="D210" t="s">
        <v>3124</v>
      </c>
      <c r="E210" t="s">
        <v>2971</v>
      </c>
      <c r="F210" t="s">
        <v>3002</v>
      </c>
      <c r="G210" t="s">
        <v>2910</v>
      </c>
      <c r="I210" t="s">
        <v>2911</v>
      </c>
      <c r="N210" t="s">
        <v>2720</v>
      </c>
      <c r="O210" t="s">
        <v>2721</v>
      </c>
      <c r="P210">
        <v>44382</v>
      </c>
    </row>
    <row r="211" spans="1:16" x14ac:dyDescent="0.3">
      <c r="A211">
        <v>39</v>
      </c>
      <c r="B211" t="s">
        <v>276</v>
      </c>
      <c r="C211" t="s">
        <v>2716</v>
      </c>
      <c r="D211" t="s">
        <v>2716</v>
      </c>
      <c r="E211" t="s">
        <v>2716</v>
      </c>
      <c r="F211" t="s">
        <v>3003</v>
      </c>
      <c r="G211" t="s">
        <v>2704</v>
      </c>
      <c r="H211" t="s">
        <v>2717</v>
      </c>
      <c r="I211" t="s">
        <v>2717</v>
      </c>
    </row>
    <row r="212" spans="1:16" x14ac:dyDescent="0.3">
      <c r="A212">
        <v>39</v>
      </c>
      <c r="B212" t="s">
        <v>278</v>
      </c>
      <c r="C212" t="s">
        <v>3004</v>
      </c>
      <c r="D212" t="s">
        <v>3125</v>
      </c>
      <c r="E212" t="s">
        <v>2971</v>
      </c>
      <c r="F212" t="s">
        <v>3005</v>
      </c>
      <c r="G212" t="s">
        <v>2910</v>
      </c>
      <c r="I212" t="s">
        <v>2911</v>
      </c>
      <c r="N212" t="s">
        <v>2720</v>
      </c>
      <c r="O212" t="s">
        <v>2721</v>
      </c>
      <c r="P212">
        <v>44382</v>
      </c>
    </row>
    <row r="213" spans="1:16" x14ac:dyDescent="0.3">
      <c r="A213">
        <v>39</v>
      </c>
      <c r="B213" t="s">
        <v>280</v>
      </c>
      <c r="C213" t="s">
        <v>3006</v>
      </c>
      <c r="D213" t="s">
        <v>3126</v>
      </c>
      <c r="E213" t="s">
        <v>3007</v>
      </c>
      <c r="F213" t="s">
        <v>3008</v>
      </c>
      <c r="G213" t="s">
        <v>2899</v>
      </c>
      <c r="H213" t="s">
        <v>2900</v>
      </c>
      <c r="I213" t="s">
        <v>2901</v>
      </c>
      <c r="N213" t="s">
        <v>2720</v>
      </c>
      <c r="O213" t="s">
        <v>2721</v>
      </c>
      <c r="P213">
        <v>44382</v>
      </c>
    </row>
    <row r="214" spans="1:16" x14ac:dyDescent="0.3">
      <c r="A214">
        <v>40</v>
      </c>
      <c r="B214" t="s">
        <v>274</v>
      </c>
      <c r="C214" t="s">
        <v>3009</v>
      </c>
      <c r="D214" t="s">
        <v>3127</v>
      </c>
      <c r="E214" t="s">
        <v>2971</v>
      </c>
      <c r="F214" t="s">
        <v>3010</v>
      </c>
      <c r="G214" t="s">
        <v>2910</v>
      </c>
      <c r="I214" t="s">
        <v>2911</v>
      </c>
      <c r="N214" t="s">
        <v>2720</v>
      </c>
      <c r="O214" t="s">
        <v>2721</v>
      </c>
      <c r="P214">
        <v>44382</v>
      </c>
    </row>
    <row r="215" spans="1:16" x14ac:dyDescent="0.3">
      <c r="A215">
        <v>40</v>
      </c>
      <c r="B215" t="s">
        <v>276</v>
      </c>
      <c r="C215" t="s">
        <v>3011</v>
      </c>
      <c r="D215" t="s">
        <v>3128</v>
      </c>
      <c r="E215" t="s">
        <v>3012</v>
      </c>
      <c r="F215" t="s">
        <v>3013</v>
      </c>
      <c r="G215" t="s">
        <v>2899</v>
      </c>
      <c r="H215" t="s">
        <v>2900</v>
      </c>
      <c r="I215" t="s">
        <v>2901</v>
      </c>
      <c r="N215" t="s">
        <v>2720</v>
      </c>
      <c r="O215" t="s">
        <v>2721</v>
      </c>
      <c r="P215">
        <v>44382</v>
      </c>
    </row>
    <row r="216" spans="1:16" x14ac:dyDescent="0.3">
      <c r="A216">
        <v>40</v>
      </c>
      <c r="B216" t="s">
        <v>278</v>
      </c>
      <c r="C216" t="s">
        <v>3014</v>
      </c>
      <c r="D216" t="s">
        <v>3129</v>
      </c>
      <c r="E216" t="s">
        <v>2971</v>
      </c>
      <c r="F216" t="s">
        <v>3015</v>
      </c>
      <c r="G216" t="s">
        <v>2910</v>
      </c>
      <c r="I216" t="s">
        <v>2911</v>
      </c>
      <c r="N216" t="s">
        <v>2720</v>
      </c>
      <c r="O216" t="s">
        <v>2721</v>
      </c>
      <c r="P216">
        <v>44382</v>
      </c>
    </row>
    <row r="217" spans="1:16" x14ac:dyDescent="0.3">
      <c r="A217">
        <v>40</v>
      </c>
      <c r="B217" t="s">
        <v>280</v>
      </c>
      <c r="C217" t="s">
        <v>3016</v>
      </c>
      <c r="D217" t="s">
        <v>3130</v>
      </c>
      <c r="E217" t="s">
        <v>2971</v>
      </c>
      <c r="F217" t="s">
        <v>3017</v>
      </c>
      <c r="G217" t="s">
        <v>2910</v>
      </c>
      <c r="I217" t="s">
        <v>2911</v>
      </c>
      <c r="N217" t="s">
        <v>2720</v>
      </c>
      <c r="O217" t="s">
        <v>2721</v>
      </c>
      <c r="P217">
        <v>44382</v>
      </c>
    </row>
    <row r="218" spans="1:16" x14ac:dyDescent="0.3">
      <c r="A218">
        <v>41</v>
      </c>
      <c r="B218" t="s">
        <v>274</v>
      </c>
      <c r="C218" t="s">
        <v>3018</v>
      </c>
      <c r="D218" t="s">
        <v>3131</v>
      </c>
      <c r="E218" t="s">
        <v>2971</v>
      </c>
      <c r="F218" t="s">
        <v>3019</v>
      </c>
      <c r="G218" t="s">
        <v>2910</v>
      </c>
      <c r="I218" t="s">
        <v>2911</v>
      </c>
      <c r="N218" t="s">
        <v>2720</v>
      </c>
      <c r="O218" t="s">
        <v>2721</v>
      </c>
      <c r="P218">
        <v>44382</v>
      </c>
    </row>
    <row r="219" spans="1:16" x14ac:dyDescent="0.3">
      <c r="A219">
        <v>41</v>
      </c>
      <c r="B219" t="s">
        <v>276</v>
      </c>
      <c r="C219" t="s">
        <v>3020</v>
      </c>
      <c r="D219" t="s">
        <v>3132</v>
      </c>
      <c r="E219" t="s">
        <v>2971</v>
      </c>
      <c r="F219" t="s">
        <v>3021</v>
      </c>
      <c r="G219" t="s">
        <v>2910</v>
      </c>
      <c r="I219" t="s">
        <v>2911</v>
      </c>
      <c r="N219" t="s">
        <v>2720</v>
      </c>
      <c r="O219" t="s">
        <v>2721</v>
      </c>
      <c r="P219">
        <v>44382</v>
      </c>
    </row>
    <row r="220" spans="1:16" x14ac:dyDescent="0.3">
      <c r="A220">
        <v>41</v>
      </c>
      <c r="B220" t="s">
        <v>278</v>
      </c>
      <c r="C220" t="s">
        <v>3022</v>
      </c>
      <c r="D220" t="s">
        <v>3133</v>
      </c>
      <c r="E220" t="s">
        <v>3023</v>
      </c>
      <c r="F220" t="s">
        <v>3024</v>
      </c>
      <c r="G220" t="s">
        <v>2899</v>
      </c>
      <c r="H220" t="s">
        <v>2900</v>
      </c>
      <c r="I220" t="s">
        <v>2901</v>
      </c>
      <c r="N220" t="s">
        <v>2720</v>
      </c>
      <c r="O220" t="s">
        <v>2721</v>
      </c>
      <c r="P220">
        <v>44382</v>
      </c>
    </row>
    <row r="221" spans="1:16" x14ac:dyDescent="0.3">
      <c r="A221">
        <v>41</v>
      </c>
      <c r="B221" t="s">
        <v>280</v>
      </c>
      <c r="C221" t="s">
        <v>3025</v>
      </c>
      <c r="D221" t="s">
        <v>3134</v>
      </c>
      <c r="E221" t="s">
        <v>2971</v>
      </c>
      <c r="F221" t="s">
        <v>3026</v>
      </c>
      <c r="G221" t="s">
        <v>2910</v>
      </c>
      <c r="I221" t="s">
        <v>2911</v>
      </c>
      <c r="N221" t="s">
        <v>2720</v>
      </c>
      <c r="O221" t="s">
        <v>2721</v>
      </c>
      <c r="P221">
        <v>44382</v>
      </c>
    </row>
    <row r="222" spans="1:16" x14ac:dyDescent="0.3">
      <c r="A222">
        <v>42</v>
      </c>
      <c r="B222" t="s">
        <v>274</v>
      </c>
      <c r="C222" t="s">
        <v>3027</v>
      </c>
      <c r="D222" t="s">
        <v>3135</v>
      </c>
      <c r="E222" t="s">
        <v>2971</v>
      </c>
      <c r="F222" t="s">
        <v>3028</v>
      </c>
      <c r="G222" t="s">
        <v>2910</v>
      </c>
      <c r="I222" t="s">
        <v>2911</v>
      </c>
      <c r="N222" t="s">
        <v>2720</v>
      </c>
      <c r="O222" t="s">
        <v>2721</v>
      </c>
      <c r="P222">
        <v>44382</v>
      </c>
    </row>
    <row r="223" spans="1:16" x14ac:dyDescent="0.3">
      <c r="A223">
        <v>42</v>
      </c>
      <c r="B223" t="s">
        <v>276</v>
      </c>
      <c r="C223" t="s">
        <v>2716</v>
      </c>
      <c r="D223" t="s">
        <v>2716</v>
      </c>
      <c r="E223" t="s">
        <v>2716</v>
      </c>
      <c r="F223" t="s">
        <v>3029</v>
      </c>
      <c r="G223" t="s">
        <v>2704</v>
      </c>
      <c r="H223" t="s">
        <v>2717</v>
      </c>
      <c r="I223" t="s">
        <v>2717</v>
      </c>
    </row>
    <row r="224" spans="1:16" x14ac:dyDescent="0.3">
      <c r="A224">
        <v>42</v>
      </c>
      <c r="B224" t="s">
        <v>278</v>
      </c>
      <c r="C224" t="s">
        <v>2716</v>
      </c>
      <c r="D224" t="s">
        <v>2716</v>
      </c>
      <c r="E224" t="s">
        <v>2716</v>
      </c>
      <c r="F224" t="s">
        <v>3030</v>
      </c>
      <c r="G224" t="s">
        <v>2704</v>
      </c>
      <c r="H224" t="s">
        <v>2717</v>
      </c>
      <c r="I224" t="s">
        <v>2717</v>
      </c>
    </row>
    <row r="225" spans="1:9" x14ac:dyDescent="0.3">
      <c r="A225">
        <v>42</v>
      </c>
      <c r="B225" t="s">
        <v>280</v>
      </c>
      <c r="C225" t="s">
        <v>2716</v>
      </c>
      <c r="D225" t="s">
        <v>2716</v>
      </c>
      <c r="E225" t="s">
        <v>2716</v>
      </c>
      <c r="F225" t="s">
        <v>3031</v>
      </c>
      <c r="G225" t="s">
        <v>2704</v>
      </c>
      <c r="H225" t="s">
        <v>2717</v>
      </c>
      <c r="I225" t="s">
        <v>2717</v>
      </c>
    </row>
    <row r="226" spans="1:9" x14ac:dyDescent="0.3">
      <c r="A226">
        <v>43</v>
      </c>
      <c r="B226" t="s">
        <v>274</v>
      </c>
      <c r="C226" t="s">
        <v>2716</v>
      </c>
      <c r="D226" t="s">
        <v>2716</v>
      </c>
      <c r="E226" t="s">
        <v>2716</v>
      </c>
      <c r="F226" t="s">
        <v>3032</v>
      </c>
      <c r="G226" t="s">
        <v>2704</v>
      </c>
      <c r="H226" t="s">
        <v>2717</v>
      </c>
      <c r="I226" t="s">
        <v>2717</v>
      </c>
    </row>
    <row r="227" spans="1:9" x14ac:dyDescent="0.3">
      <c r="A227">
        <v>43</v>
      </c>
      <c r="B227" t="s">
        <v>276</v>
      </c>
      <c r="C227" t="s">
        <v>2716</v>
      </c>
      <c r="D227" t="s">
        <v>2716</v>
      </c>
      <c r="E227" t="s">
        <v>2716</v>
      </c>
      <c r="F227" t="s">
        <v>3033</v>
      </c>
      <c r="G227" t="s">
        <v>2704</v>
      </c>
      <c r="H227" t="s">
        <v>2717</v>
      </c>
      <c r="I227" t="s">
        <v>2717</v>
      </c>
    </row>
    <row r="228" spans="1:9" x14ac:dyDescent="0.3">
      <c r="A228">
        <v>43</v>
      </c>
      <c r="B228" t="s">
        <v>278</v>
      </c>
      <c r="C228" t="s">
        <v>2716</v>
      </c>
      <c r="D228" t="s">
        <v>2716</v>
      </c>
      <c r="E228" t="s">
        <v>2716</v>
      </c>
      <c r="F228" t="s">
        <v>3034</v>
      </c>
      <c r="G228" t="s">
        <v>2704</v>
      </c>
      <c r="H228" t="s">
        <v>2717</v>
      </c>
      <c r="I228" t="s">
        <v>2717</v>
      </c>
    </row>
    <row r="229" spans="1:9" x14ac:dyDescent="0.3">
      <c r="A229">
        <v>43</v>
      </c>
      <c r="B229" t="s">
        <v>280</v>
      </c>
      <c r="C229" t="s">
        <v>2716</v>
      </c>
      <c r="D229" t="s">
        <v>2716</v>
      </c>
      <c r="E229" t="s">
        <v>2716</v>
      </c>
      <c r="F229" t="s">
        <v>3035</v>
      </c>
      <c r="G229" t="s">
        <v>2704</v>
      </c>
      <c r="H229" t="s">
        <v>2717</v>
      </c>
      <c r="I229" t="s">
        <v>2717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CB9A-90FA-43E4-B2F9-05A33443CD24}">
  <sheetPr codeName="Sheet29"/>
  <dimension ref="A1:E9"/>
  <sheetViews>
    <sheetView workbookViewId="0">
      <selection activeCell="B2" sqref="B2:E2"/>
    </sheetView>
  </sheetViews>
  <sheetFormatPr defaultRowHeight="16.5" x14ac:dyDescent="0.3"/>
  <cols>
    <col min="1" max="1" width="19.5" bestFit="1" customWidth="1"/>
    <col min="2" max="2" width="26.125" customWidth="1"/>
    <col min="3" max="3" width="26.5" customWidth="1"/>
    <col min="4" max="4" width="34.125" customWidth="1"/>
    <col min="5" max="5" width="28.625" customWidth="1"/>
  </cols>
  <sheetData>
    <row r="1" spans="1:5" x14ac:dyDescent="0.3">
      <c r="A1" t="s">
        <v>2</v>
      </c>
      <c r="B1" t="s">
        <v>10</v>
      </c>
      <c r="C1" t="s">
        <v>421</v>
      </c>
      <c r="D1" t="s">
        <v>422</v>
      </c>
      <c r="E1" t="s">
        <v>428</v>
      </c>
    </row>
    <row r="2" spans="1:5" x14ac:dyDescent="0.3">
      <c r="A2" t="s">
        <v>2016</v>
      </c>
      <c r="C2" t="str">
        <f>_xlfn.XLOOKUP(ValveOnOffIO[[#This Row],[Tag]] &amp; "*" &amp; "OPEN",IOL_QUERY[Custom],IOL_QUERY[Column3],"",2)</f>
        <v>CEM-00103-001_OPEN</v>
      </c>
      <c r="D2" t="str">
        <f>_xlfn.XLOOKUP(ValveOnOffIO[[#This Row],[Tag]] &amp; "*" &amp; "CLOSED",IOL_QUERY[Custom],IOL_QUERY[Column3],"",2)</f>
        <v>CEM-00103-001_CLOSED</v>
      </c>
      <c r="E2" t="str">
        <f>_xlfn.XLOOKUP(ValveOnOffIO[[#This Row],[Tag]] &amp; "*" &amp; "CMD",IOL_QUERY[Custom],IOL_QUERY[Column3],"",2)</f>
        <v>CEM-00103-001_CMD</v>
      </c>
    </row>
    <row r="3" spans="1:5" x14ac:dyDescent="0.3">
      <c r="A3" t="s">
        <v>2020</v>
      </c>
      <c r="C3" t="str">
        <f>_xlfn.XLOOKUP(ValveOnOffIO[[#This Row],[Tag]] &amp; "*" &amp; "OPEN",IOL_QUERY[Custom],IOL_QUERY[Column3],"",2)</f>
        <v>CEM-00103-002_OPEN</v>
      </c>
      <c r="D3" t="str">
        <f>_xlfn.XLOOKUP(ValveOnOffIO[[#This Row],[Tag]] &amp; "*" &amp; "CLOSED",IOL_QUERY[Custom],IOL_QUERY[Column3],"",2)</f>
        <v>CEM-00103-002_CLOSED</v>
      </c>
      <c r="E3" t="str">
        <f>_xlfn.XLOOKUP(ValveOnOffIO[[#This Row],[Tag]] &amp; "*" &amp; "CMD",IOL_QUERY[Custom],IOL_QUERY[Column3],"",2)</f>
        <v>CEM-00103-002_CMD</v>
      </c>
    </row>
    <row r="4" spans="1:5" x14ac:dyDescent="0.3">
      <c r="A4" t="s">
        <v>2024</v>
      </c>
      <c r="C4" t="str">
        <f>_xlfn.XLOOKUP(ValveOnOffIO[[#This Row],[Tag]] &amp; "*" &amp; "OPEN",IOL_QUERY[Custom],IOL_QUERY[Column3],"",2)</f>
        <v>CEM-00104-001_OPEN</v>
      </c>
      <c r="D4" t="str">
        <f>_xlfn.XLOOKUP(ValveOnOffIO[[#This Row],[Tag]] &amp; "*" &amp; "CLOSED",IOL_QUERY[Custom],IOL_QUERY[Column3],"",2)</f>
        <v>CEM-00104-001_CLOSED</v>
      </c>
      <c r="E4" t="str">
        <f>_xlfn.XLOOKUP(ValveOnOffIO[[#This Row],[Tag]] &amp; "*" &amp; "CMD",IOL_QUERY[Custom],IOL_QUERY[Column3],"",2)</f>
        <v>CEM-00104-001_CMD</v>
      </c>
    </row>
    <row r="5" spans="1:5" x14ac:dyDescent="0.3">
      <c r="A5" t="s">
        <v>2028</v>
      </c>
      <c r="C5" t="str">
        <f>_xlfn.XLOOKUP(ValveOnOffIO[[#This Row],[Tag]] &amp; "*" &amp; "OPEN",IOL_QUERY[Custom],IOL_QUERY[Column3],"",2)</f>
        <v>CEM-00104-002_OPEN</v>
      </c>
      <c r="D5" t="str">
        <f>_xlfn.XLOOKUP(ValveOnOffIO[[#This Row],[Tag]] &amp; "*" &amp; "CLOSED",IOL_QUERY[Custom],IOL_QUERY[Column3],"",2)</f>
        <v>CEM-00104-002_CLOSED</v>
      </c>
      <c r="E5" t="str">
        <f>_xlfn.XLOOKUP(ValveOnOffIO[[#This Row],[Tag]] &amp; "*" &amp; "CMD",IOL_QUERY[Custom],IOL_QUERY[Column3],"",2)</f>
        <v>CEM-00104-002_CMD</v>
      </c>
    </row>
    <row r="6" spans="1:5" x14ac:dyDescent="0.3">
      <c r="A6" t="s">
        <v>2032</v>
      </c>
      <c r="C6" t="str">
        <f>_xlfn.XLOOKUP(ValveOnOffIO[[#This Row],[Tag]] &amp; "*" &amp; "OPEN",IOL_QUERY[Custom],IOL_QUERY[Column3],"",2)</f>
        <v>CEM-00115-001_OPEN</v>
      </c>
      <c r="D6" t="str">
        <f>_xlfn.XLOOKUP(ValveOnOffIO[[#This Row],[Tag]] &amp; "*" &amp; "CLOSED",IOL_QUERY[Custom],IOL_QUERY[Column3],"",2)</f>
        <v>CEM-00115-001_CLOSED</v>
      </c>
      <c r="E6" t="str">
        <f>_xlfn.XLOOKUP(ValveOnOffIO[[#This Row],[Tag]] &amp; "*" &amp; "CMD",IOL_QUERY[Custom],IOL_QUERY[Column3],"",2)</f>
        <v>CEM-00115-001_CMD</v>
      </c>
    </row>
    <row r="7" spans="1:5" x14ac:dyDescent="0.3">
      <c r="A7" t="s">
        <v>2036</v>
      </c>
      <c r="C7" t="str">
        <f>_xlfn.XLOOKUP(ValveOnOffIO[[#This Row],[Tag]] &amp; "*" &amp; "OPEN",IOL_QUERY[Custom],IOL_QUERY[Column3],"",2)</f>
        <v>CEM-00115-002_OPEN</v>
      </c>
      <c r="D7" t="str">
        <f>_xlfn.XLOOKUP(ValveOnOffIO[[#This Row],[Tag]] &amp; "*" &amp; "CLOSED",IOL_QUERY[Custom],IOL_QUERY[Column3],"",2)</f>
        <v>CEM-00115-002_CLOSED</v>
      </c>
      <c r="E7" t="str">
        <f>_xlfn.XLOOKUP(ValveOnOffIO[[#This Row],[Tag]] &amp; "*" &amp; "CMD",IOL_QUERY[Custom],IOL_QUERY[Column3],"",2)</f>
        <v>CEM-00115-002_CMD</v>
      </c>
    </row>
    <row r="8" spans="1:5" x14ac:dyDescent="0.3">
      <c r="A8" t="s">
        <v>2040</v>
      </c>
      <c r="C8" t="str">
        <f>_xlfn.XLOOKUP(ValveOnOffIO[[#This Row],[Tag]] &amp; "*" &amp; "OPEN",IOL_QUERY[Custom],IOL_QUERY[Column3],"",2)</f>
        <v>CEM-SU01B-001_OPEN</v>
      </c>
      <c r="D8" t="str">
        <f>_xlfn.XLOOKUP(ValveOnOffIO[[#This Row],[Tag]] &amp; "*" &amp; "CLOSED",IOL_QUERY[Custom],IOL_QUERY[Column3],"",2)</f>
        <v>CEM-SU01B-001_CLOSED</v>
      </c>
      <c r="E8" t="str">
        <f>_xlfn.XLOOKUP(ValveOnOffIO[[#This Row],[Tag]] &amp; "*" &amp; "CMD",IOL_QUERY[Custom],IOL_QUERY[Column3],"",2)</f>
        <v>CEM-SU01B-001_CMD</v>
      </c>
    </row>
    <row r="9" spans="1:5" x14ac:dyDescent="0.3">
      <c r="A9" t="s">
        <v>2044</v>
      </c>
      <c r="C9" t="str">
        <f>_xlfn.XLOOKUP(ValveOnOffIO[[#This Row],[Tag]] &amp; "*" &amp; "OPEN",IOL_QUERY[Custom],IOL_QUERY[Column3],"",2)</f>
        <v>CEM-SU01B-003_OPEN</v>
      </c>
      <c r="D9" t="str">
        <f>_xlfn.XLOOKUP(ValveOnOffIO[[#This Row],[Tag]] &amp; "*" &amp; "CLOSED",IOL_QUERY[Custom],IOL_QUERY[Column3],"",2)</f>
        <v>CEM-SU01B-003_CLOSED</v>
      </c>
      <c r="E9" t="str">
        <f>_xlfn.XLOOKUP(ValveOnOffIO[[#This Row],[Tag]] &amp; "*" &amp; "CMD",IOL_QUERY[Custom],IOL_QUERY[Column3],"",2)</f>
        <v>CEM-SU01B-003_CMD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C4CCA-0473-4415-AF57-9A6FFB8E0C55}">
  <sheetPr codeName="Sheet32"/>
  <dimension ref="A1:B31"/>
  <sheetViews>
    <sheetView workbookViewId="0">
      <selection activeCell="B20" sqref="B20:B25"/>
    </sheetView>
  </sheetViews>
  <sheetFormatPr defaultRowHeight="16.5" x14ac:dyDescent="0.3"/>
  <cols>
    <col min="1" max="1" width="39" customWidth="1"/>
    <col min="2" max="2" width="29.625" customWidth="1"/>
    <col min="3" max="3" width="20.625" customWidth="1"/>
  </cols>
  <sheetData>
    <row r="1" spans="1:2" x14ac:dyDescent="0.3">
      <c r="A1" t="s">
        <v>2</v>
      </c>
      <c r="B1" t="s">
        <v>424</v>
      </c>
    </row>
    <row r="2" spans="1:2" x14ac:dyDescent="0.3">
      <c r="A2" t="s">
        <v>2292</v>
      </c>
      <c r="B2" t="str">
        <f>_xlfn.XLOOKUP(DigitalInputIO[[#This Row],[Tag]] &amp; "*" &amp; "",IOL_QUERY[Custom],IOL_QUERY[Column3],"",2)</f>
        <v>PDS-F1-SU01-001</v>
      </c>
    </row>
    <row r="3" spans="1:2" x14ac:dyDescent="0.3">
      <c r="A3" t="s">
        <v>2296</v>
      </c>
      <c r="B3" t="str">
        <f>_xlfn.XLOOKUP(DigitalInputIO[[#This Row],[Tag]] &amp; "*" &amp; "",IOL_QUERY[Custom],IOL_QUERY[Column3],"",2)</f>
        <v>PSH-SU01-001</v>
      </c>
    </row>
    <row r="4" spans="1:2" x14ac:dyDescent="0.3">
      <c r="A4" t="s">
        <v>2300</v>
      </c>
      <c r="B4" t="str">
        <f>_xlfn.XLOOKUP(DigitalInputIO[[#This Row],[Tag]] &amp; "*" &amp; "",IOL_QUERY[Custom],IOL_QUERY[Column3],"",2)</f>
        <v>PDS-F1-SU01B-001</v>
      </c>
    </row>
    <row r="5" spans="1:2" x14ac:dyDescent="0.3">
      <c r="A5" t="s">
        <v>2304</v>
      </c>
      <c r="B5" t="str">
        <f>_xlfn.XLOOKUP(DigitalInputIO[[#This Row],[Tag]] &amp; "*" &amp; "",IOL_QUERY[Custom],IOL_QUERY[Column3],"",2)</f>
        <v>PSH-SU01B-001</v>
      </c>
    </row>
    <row r="6" spans="1:2" x14ac:dyDescent="0.3">
      <c r="A6" t="s">
        <v>2308</v>
      </c>
      <c r="B6" t="str">
        <f>_xlfn.XLOOKUP(DigitalInputIO[[#This Row],[Tag]] &amp; "*" &amp; "",IOL_QUERY[Custom],IOL_QUERY[Column3],"",2)</f>
        <v>PSH-00116-001</v>
      </c>
    </row>
    <row r="7" spans="1:2" x14ac:dyDescent="0.3">
      <c r="A7" t="s">
        <v>2312</v>
      </c>
      <c r="B7" t="str">
        <f>_xlfn.XLOOKUP(DigitalInputIO[[#This Row],[Tag]] &amp; "*" &amp; "",IOL_QUERY[Custom],IOL_QUERY[Column3],"",2)</f>
        <v>PSL-00116-001</v>
      </c>
    </row>
    <row r="8" spans="1:2" x14ac:dyDescent="0.3">
      <c r="A8" t="s">
        <v>2316</v>
      </c>
      <c r="B8" t="str">
        <f>_xlfn.XLOOKUP(DigitalInputIO[[#This Row],[Tag]] &amp; "*" &amp; "",IOL_QUERY[Custom],IOL_QUERY[Column3],"",2)</f>
        <v>PSH-00112-001</v>
      </c>
    </row>
    <row r="9" spans="1:2" x14ac:dyDescent="0.3">
      <c r="A9" t="s">
        <v>2320</v>
      </c>
      <c r="B9" t="str">
        <f>_xlfn.XLOOKUP(DigitalInputIO[[#This Row],[Tag]] &amp; "*" &amp; "",IOL_QUERY[Custom],IOL_QUERY[Column3],"",2)</f>
        <v>PSL-00112-001</v>
      </c>
    </row>
    <row r="10" spans="1:2" x14ac:dyDescent="0.3">
      <c r="A10" t="s">
        <v>2324</v>
      </c>
      <c r="B10" t="str">
        <f>_xlfn.XLOOKUP(DigitalInputIO[[#This Row],[Tag]] &amp; "*" &amp; "",IOL_QUERY[Custom],IOL_QUERY[Column3],"",2)</f>
        <v>LS-SU01-001</v>
      </c>
    </row>
    <row r="11" spans="1:2" x14ac:dyDescent="0.3">
      <c r="A11" t="s">
        <v>2328</v>
      </c>
      <c r="B11" t="str">
        <f>_xlfn.XLOOKUP(DigitalInputIO[[#This Row],[Tag]] &amp; "*" &amp; "",IOL_QUERY[Custom],IOL_QUERY[Column3],"",2)</f>
        <v>LS-CC-00103</v>
      </c>
    </row>
    <row r="12" spans="1:2" x14ac:dyDescent="0.3">
      <c r="A12" t="s">
        <v>2332</v>
      </c>
      <c r="B12" t="str">
        <f>_xlfn.XLOOKUP(DigitalInputIO[[#This Row],[Tag]] &amp; "*" &amp; "",IOL_QUERY[Custom],IOL_QUERY[Column3],"",2)</f>
        <v>LS-CC-00104</v>
      </c>
    </row>
    <row r="13" spans="1:2" x14ac:dyDescent="0.3">
      <c r="A13" t="s">
        <v>2336</v>
      </c>
      <c r="B13" t="str">
        <f>_xlfn.XLOOKUP(DigitalInputIO[[#This Row],[Tag]] &amp; "*" &amp; "",IOL_QUERY[Custom],IOL_QUERY[Column3],"",2)</f>
        <v>LS-CC-00115</v>
      </c>
    </row>
    <row r="14" spans="1:2" x14ac:dyDescent="0.3">
      <c r="A14" t="s">
        <v>2340</v>
      </c>
      <c r="B14" t="str">
        <f>_xlfn.XLOOKUP(DigitalInputIO[[#This Row],[Tag]] &amp; "*" &amp; "",IOL_QUERY[Custom],IOL_QUERY[Column3],"",2)</f>
        <v>LS-CC-00106</v>
      </c>
    </row>
    <row r="15" spans="1:2" x14ac:dyDescent="0.3">
      <c r="A15" t="s">
        <v>2344</v>
      </c>
      <c r="B15" t="str">
        <f>_xlfn.XLOOKUP(DigitalInputIO[[#This Row],[Tag]] &amp; "*" &amp; "",IOL_QUERY[Custom],IOL_QUERY[Column3],"",2)</f>
        <v>LS-CC-00107</v>
      </c>
    </row>
    <row r="16" spans="1:2" x14ac:dyDescent="0.3">
      <c r="A16" t="s">
        <v>2348</v>
      </c>
      <c r="B16" t="str">
        <f>_xlfn.XLOOKUP(DigitalInputIO[[#This Row],[Tag]] &amp; "*" &amp; "",IOL_QUERY[Custom],IOL_QUERY[Column3],"",2)</f>
        <v>LS-CC-00108</v>
      </c>
    </row>
    <row r="17" spans="1:2" x14ac:dyDescent="0.3">
      <c r="A17" t="s">
        <v>2352</v>
      </c>
      <c r="B17" t="str">
        <f>_xlfn.XLOOKUP(DigitalInputIO[[#This Row],[Tag]] &amp; "*" &amp; "",IOL_QUERY[Custom],IOL_QUERY[Column3],"",2)</f>
        <v>LS-CC-00109</v>
      </c>
    </row>
    <row r="18" spans="1:2" x14ac:dyDescent="0.3">
      <c r="A18" t="s">
        <v>2356</v>
      </c>
      <c r="B18" t="str">
        <f>_xlfn.XLOOKUP(DigitalInputIO[[#This Row],[Tag]] &amp; "*" &amp; "",IOL_QUERY[Custom],IOL_QUERY[Column3],"",2)</f>
        <v>LS-CC-00110</v>
      </c>
    </row>
    <row r="19" spans="1:2" x14ac:dyDescent="0.3">
      <c r="A19" t="s">
        <v>2360</v>
      </c>
      <c r="B19" t="str">
        <f>_xlfn.XLOOKUP(DigitalInputIO[[#This Row],[Tag]] &amp; "*" &amp; "",IOL_QUERY[Custom],IOL_QUERY[Column3],"",2)</f>
        <v>LS-CC-00111</v>
      </c>
    </row>
    <row r="20" spans="1:2" x14ac:dyDescent="0.3">
      <c r="A20" t="s">
        <v>2364</v>
      </c>
      <c r="B20" t="str">
        <f>_xlfn.XLOOKUP("*PAR*",IOL_QUERY[Custom],IOL_QUERY[Column3],"",2)</f>
        <v>SU01_PAR</v>
      </c>
    </row>
    <row r="21" spans="1:2" x14ac:dyDescent="0.3">
      <c r="A21" t="s">
        <v>2368</v>
      </c>
      <c r="B21" t="str">
        <f>_xlfn.XLOOKUP("*PAR*",IOL_QUERY[Custom],IOL_QUERY[Column3],"",2)</f>
        <v>SU01_PAR</v>
      </c>
    </row>
    <row r="22" spans="1:2" x14ac:dyDescent="0.3">
      <c r="A22" t="s">
        <v>2372</v>
      </c>
      <c r="B22" t="str">
        <f>_xlfn.XLOOKUP("*ES*",IOL_QUERY[Custom],IOL_QUERY[Column3],"",2)</f>
        <v>SU01_ES</v>
      </c>
    </row>
    <row r="23" spans="1:2" x14ac:dyDescent="0.3">
      <c r="A23" t="s">
        <v>2376</v>
      </c>
      <c r="B23" t="str">
        <f>_xlfn.XLOOKUP("*FC*",IOL_QUERY[Custom],IOL_QUERY[Column3],"",2)</f>
        <v>SU01_FC_AL</v>
      </c>
    </row>
    <row r="24" spans="1:2" x14ac:dyDescent="0.3">
      <c r="A24" t="s">
        <v>2380</v>
      </c>
      <c r="B24" t="str">
        <f>_xlfn.XLOOKUP("*24VAC*",IOL_QUERY[Custom],IOL_QUERY[Column3],"",2)</f>
        <v>SU01_24VAC</v>
      </c>
    </row>
    <row r="25" spans="1:2" x14ac:dyDescent="0.3">
      <c r="A25" t="s">
        <v>2384</v>
      </c>
      <c r="B25" t="str">
        <f>_xlfn.XLOOKUP("*24VDC*",IOL_QUERY[Custom],IOL_QUERY[Column3],"",2)</f>
        <v>SU01_24VDC</v>
      </c>
    </row>
    <row r="26" spans="1:2" x14ac:dyDescent="0.3">
      <c r="A26" t="s">
        <v>2388</v>
      </c>
      <c r="B26" t="str">
        <f>_xlfn.XLOOKUP("*PAR*",IOL_QUERY[Custom],IOL_QUERY[Column3],"",2)</f>
        <v>SU01_PAR</v>
      </c>
    </row>
    <row r="27" spans="1:2" x14ac:dyDescent="0.3">
      <c r="A27" t="s">
        <v>2392</v>
      </c>
      <c r="B27" t="str">
        <f>_xlfn.XLOOKUP("*PAR*",IOL_QUERY[Custom],IOL_QUERY[Column3],"",2)</f>
        <v>SU01_PAR</v>
      </c>
    </row>
    <row r="28" spans="1:2" x14ac:dyDescent="0.3">
      <c r="A28" t="s">
        <v>2396</v>
      </c>
      <c r="B28" t="str">
        <f>_xlfn.XLOOKUP("*ES*",IOL_QUERY[Custom],IOL_QUERY[Column3],"",2)</f>
        <v>SU01_ES</v>
      </c>
    </row>
    <row r="29" spans="1:2" x14ac:dyDescent="0.3">
      <c r="A29" t="s">
        <v>2400</v>
      </c>
      <c r="B29" t="str">
        <f>_xlfn.XLOOKUP("*FC*",IOL_QUERY[Custom],IOL_QUERY[Column3],"",2)</f>
        <v>SU01_FC_AL</v>
      </c>
    </row>
    <row r="30" spans="1:2" x14ac:dyDescent="0.3">
      <c r="A30" t="s">
        <v>2404</v>
      </c>
      <c r="B30" t="str">
        <f>_xlfn.XLOOKUP("*24VAC*",IOL_QUERY[Custom],IOL_QUERY[Column3],"",2)</f>
        <v>SU01_24VAC</v>
      </c>
    </row>
    <row r="31" spans="1:2" x14ac:dyDescent="0.3">
      <c r="A31" t="s">
        <v>2408</v>
      </c>
      <c r="B31" t="str">
        <f>_xlfn.XLOOKUP("*24VDC*",IOL_QUERY[Custom],IOL_QUERY[Column3],"",2)</f>
        <v>SU01_24VDC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D233-BEAF-45DE-9DED-6741FD03AA14}">
  <sheetPr codeName="Sheet33"/>
  <dimension ref="A1:C14"/>
  <sheetViews>
    <sheetView workbookViewId="0">
      <selection activeCell="C39" sqref="C39"/>
    </sheetView>
  </sheetViews>
  <sheetFormatPr defaultRowHeight="16.5" x14ac:dyDescent="0.3"/>
  <cols>
    <col min="1" max="1" width="35.125" customWidth="1"/>
    <col min="2" max="2" width="38.875" customWidth="1"/>
    <col min="3" max="3" width="21.5" customWidth="1"/>
  </cols>
  <sheetData>
    <row r="1" spans="1:3" x14ac:dyDescent="0.3">
      <c r="A1" t="s">
        <v>2</v>
      </c>
      <c r="B1" t="s">
        <v>542</v>
      </c>
      <c r="C1" t="s">
        <v>1</v>
      </c>
    </row>
    <row r="2" spans="1:3" x14ac:dyDescent="0.3">
      <c r="A2" t="s">
        <v>154</v>
      </c>
      <c r="B2" t="e">
        <f>_xlfn.XLOOKUP(Table36[[#This Row],[Column1]] &amp;"*REG",#REF!,#REF!,"",2)</f>
        <v>#REF!</v>
      </c>
      <c r="C2" t="s">
        <v>160</v>
      </c>
    </row>
    <row r="3" spans="1:3" x14ac:dyDescent="0.3">
      <c r="A3" t="s">
        <v>164</v>
      </c>
      <c r="B3" t="e">
        <f>_xlfn.XLOOKUP(Table36[[#This Row],[Column1]] &amp;"*REG",#REF!,#REF!,"",2)</f>
        <v>#REF!</v>
      </c>
      <c r="C3" t="s">
        <v>161</v>
      </c>
    </row>
    <row r="4" spans="1:3" x14ac:dyDescent="0.3">
      <c r="A4" t="s">
        <v>165</v>
      </c>
      <c r="B4" t="e">
        <f>_xlfn.XLOOKUP(Table36[[#This Row],[Column1]] &amp;"*REG",#REF!,#REF!,"",2)</f>
        <v>#REF!</v>
      </c>
      <c r="C4" t="s">
        <v>35</v>
      </c>
    </row>
    <row r="5" spans="1:3" x14ac:dyDescent="0.3">
      <c r="A5" t="s">
        <v>166</v>
      </c>
      <c r="B5" t="e">
        <f>_xlfn.XLOOKUP(Table36[[#This Row],[Column1]] &amp;"*REG",#REF!,#REF!,"",2)</f>
        <v>#REF!</v>
      </c>
      <c r="C5" t="s">
        <v>36</v>
      </c>
    </row>
    <row r="6" spans="1:3" x14ac:dyDescent="0.3">
      <c r="A6" t="s">
        <v>167</v>
      </c>
      <c r="B6" t="e">
        <f>_xlfn.XLOOKUP(Table36[[#This Row],[Column1]] &amp;"*REG",#REF!,#REF!,"",2)</f>
        <v>#REF!</v>
      </c>
      <c r="C6" t="s">
        <v>37</v>
      </c>
    </row>
    <row r="7" spans="1:3" x14ac:dyDescent="0.3">
      <c r="A7" t="s">
        <v>168</v>
      </c>
      <c r="B7" t="e">
        <f>_xlfn.XLOOKUP(Table36[[#This Row],[Column1]] &amp;"*REG",#REF!,#REF!,"",2)</f>
        <v>#REF!</v>
      </c>
      <c r="C7" t="s">
        <v>38</v>
      </c>
    </row>
    <row r="8" spans="1:3" x14ac:dyDescent="0.3">
      <c r="A8" t="s">
        <v>169</v>
      </c>
      <c r="B8" t="e">
        <f>_xlfn.XLOOKUP(Table36[[#This Row],[Column1]] &amp;"*REG",#REF!,#REF!,"",2)</f>
        <v>#REF!</v>
      </c>
      <c r="C8" t="s">
        <v>39</v>
      </c>
    </row>
    <row r="9" spans="1:3" x14ac:dyDescent="0.3">
      <c r="A9" t="s">
        <v>170</v>
      </c>
      <c r="B9" t="e">
        <f>_xlfn.XLOOKUP(Table36[[#This Row],[Column1]] &amp;"*REG",#REF!,#REF!,"",2)</f>
        <v>#REF!</v>
      </c>
      <c r="C9" t="s">
        <v>40</v>
      </c>
    </row>
    <row r="10" spans="1:3" x14ac:dyDescent="0.3">
      <c r="A10" t="s">
        <v>171</v>
      </c>
      <c r="B10" t="e">
        <f>_xlfn.XLOOKUP(Table36[[#This Row],[Column1]] &amp;"*REG",#REF!,#REF!,"",2)</f>
        <v>#REF!</v>
      </c>
      <c r="C10" t="s">
        <v>41</v>
      </c>
    </row>
    <row r="11" spans="1:3" x14ac:dyDescent="0.3">
      <c r="A11" t="s">
        <v>172</v>
      </c>
      <c r="B11" t="e">
        <f>_xlfn.XLOOKUP(Table36[[#This Row],[Column1]] &amp;"*REG",#REF!,#REF!,"",2)</f>
        <v>#REF!</v>
      </c>
      <c r="C11" t="s">
        <v>42</v>
      </c>
    </row>
    <row r="12" spans="1:3" x14ac:dyDescent="0.3">
      <c r="A12" t="s">
        <v>173</v>
      </c>
      <c r="B12" t="e">
        <f>_xlfn.XLOOKUP(Table36[[#This Row],[Column1]] &amp;"*REG",#REF!,#REF!,"",2)</f>
        <v>#REF!</v>
      </c>
      <c r="C12" t="s">
        <v>43</v>
      </c>
    </row>
    <row r="13" spans="1:3" x14ac:dyDescent="0.3">
      <c r="A13" t="s">
        <v>174</v>
      </c>
      <c r="B13" t="e">
        <f>_xlfn.XLOOKUP(Table36[[#This Row],[Column1]] &amp;"*REG",#REF!,#REF!,"",2)</f>
        <v>#REF!</v>
      </c>
      <c r="C13" t="s">
        <v>44</v>
      </c>
    </row>
    <row r="14" spans="1:3" x14ac:dyDescent="0.3">
      <c r="A14" t="s">
        <v>175</v>
      </c>
      <c r="B14" t="e">
        <f>_xlfn.XLOOKUP(Table36[[#This Row],[Column1]] &amp;"*REG",#REF!,#REF!,"",2)</f>
        <v>#REF!</v>
      </c>
      <c r="C14" t="s">
        <v>45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D3CF1-4382-4D78-BCE5-C8CF3066AC68}">
  <sheetPr codeName="Sheet36"/>
  <dimension ref="A1:J129"/>
  <sheetViews>
    <sheetView workbookViewId="0">
      <selection activeCell="A18" sqref="A18"/>
    </sheetView>
  </sheetViews>
  <sheetFormatPr defaultRowHeight="16.5" x14ac:dyDescent="0.3"/>
  <cols>
    <col min="1" max="1" width="27.625" bestFit="1" customWidth="1"/>
    <col min="2" max="2" width="9.875" bestFit="1" customWidth="1"/>
    <col min="3" max="3" width="9.5" bestFit="1" customWidth="1"/>
    <col min="4" max="4" width="25.75" bestFit="1" customWidth="1"/>
    <col min="5" max="5" width="14.75" bestFit="1" customWidth="1"/>
    <col min="6" max="6" width="9.875" bestFit="1" customWidth="1"/>
    <col min="7" max="7" width="12.75" bestFit="1" customWidth="1"/>
    <col min="8" max="8" width="20.875" bestFit="1" customWidth="1"/>
    <col min="9" max="9" width="81" bestFit="1" customWidth="1"/>
    <col min="10" max="10" width="9.5" bestFit="1" customWidth="1"/>
  </cols>
  <sheetData>
    <row r="1" spans="1:10" x14ac:dyDescent="0.3">
      <c r="A1" t="s">
        <v>7</v>
      </c>
      <c r="B1" t="s">
        <v>195</v>
      </c>
      <c r="C1" t="s">
        <v>132</v>
      </c>
      <c r="E1" t="s">
        <v>7</v>
      </c>
      <c r="F1" t="s">
        <v>195</v>
      </c>
      <c r="G1" t="s">
        <v>1609</v>
      </c>
      <c r="H1" t="s">
        <v>32</v>
      </c>
      <c r="I1" t="s">
        <v>879</v>
      </c>
      <c r="J1" t="s">
        <v>132</v>
      </c>
    </row>
    <row r="2" spans="1:10" x14ac:dyDescent="0.3">
      <c r="A2" t="s">
        <v>429</v>
      </c>
      <c r="B2" t="s">
        <v>212</v>
      </c>
      <c r="C2" t="s">
        <v>129</v>
      </c>
      <c r="E2" t="s">
        <v>1106</v>
      </c>
      <c r="G2" t="s">
        <v>1612</v>
      </c>
      <c r="H2" t="s">
        <v>1574</v>
      </c>
      <c r="I2" t="s">
        <v>2017</v>
      </c>
      <c r="J2" t="s">
        <v>1442</v>
      </c>
    </row>
    <row r="3" spans="1:10" x14ac:dyDescent="0.3">
      <c r="A3" t="s">
        <v>430</v>
      </c>
      <c r="B3" t="s">
        <v>212</v>
      </c>
      <c r="C3" t="s">
        <v>129</v>
      </c>
      <c r="E3" t="s">
        <v>1110</v>
      </c>
      <c r="G3" t="s">
        <v>1612</v>
      </c>
      <c r="H3" t="s">
        <v>1575</v>
      </c>
      <c r="I3" t="s">
        <v>2021</v>
      </c>
      <c r="J3" t="s">
        <v>1442</v>
      </c>
    </row>
    <row r="4" spans="1:10" x14ac:dyDescent="0.3">
      <c r="A4" t="s">
        <v>431</v>
      </c>
      <c r="B4" t="s">
        <v>212</v>
      </c>
      <c r="C4" t="s">
        <v>129</v>
      </c>
      <c r="E4" t="s">
        <v>1112</v>
      </c>
      <c r="G4" t="s">
        <v>1613</v>
      </c>
      <c r="H4" t="s">
        <v>1576</v>
      </c>
      <c r="I4" t="s">
        <v>2025</v>
      </c>
      <c r="J4" t="s">
        <v>1442</v>
      </c>
    </row>
    <row r="5" spans="1:10" x14ac:dyDescent="0.3">
      <c r="A5" t="s">
        <v>435</v>
      </c>
      <c r="B5" t="s">
        <v>212</v>
      </c>
      <c r="C5" t="s">
        <v>129</v>
      </c>
      <c r="E5" t="s">
        <v>1113</v>
      </c>
      <c r="G5" t="s">
        <v>1613</v>
      </c>
      <c r="H5" t="s">
        <v>1577</v>
      </c>
      <c r="I5" t="s">
        <v>2029</v>
      </c>
      <c r="J5" t="s">
        <v>1442</v>
      </c>
    </row>
    <row r="6" spans="1:10" x14ac:dyDescent="0.3">
      <c r="A6" t="s">
        <v>501</v>
      </c>
      <c r="B6" t="s">
        <v>211</v>
      </c>
      <c r="C6" t="s">
        <v>129</v>
      </c>
      <c r="E6" t="s">
        <v>1114</v>
      </c>
      <c r="G6" t="s">
        <v>1614</v>
      </c>
      <c r="H6" t="s">
        <v>1578</v>
      </c>
      <c r="I6" t="s">
        <v>2033</v>
      </c>
      <c r="J6" t="s">
        <v>1442</v>
      </c>
    </row>
    <row r="7" spans="1:10" x14ac:dyDescent="0.3">
      <c r="A7" t="s">
        <v>500</v>
      </c>
      <c r="B7" t="s">
        <v>210</v>
      </c>
      <c r="C7" t="s">
        <v>129</v>
      </c>
      <c r="E7" t="s">
        <v>1115</v>
      </c>
      <c r="G7" t="s">
        <v>1614</v>
      </c>
      <c r="H7" t="s">
        <v>1579</v>
      </c>
      <c r="I7" t="s">
        <v>2037</v>
      </c>
      <c r="J7" t="s">
        <v>1442</v>
      </c>
    </row>
    <row r="8" spans="1:10" x14ac:dyDescent="0.3">
      <c r="A8" t="s">
        <v>499</v>
      </c>
      <c r="B8" t="s">
        <v>543</v>
      </c>
      <c r="C8" t="s">
        <v>129</v>
      </c>
      <c r="E8" t="s">
        <v>1481</v>
      </c>
      <c r="G8" t="s">
        <v>1611</v>
      </c>
      <c r="H8" t="s">
        <v>1586</v>
      </c>
      <c r="I8" t="s">
        <v>2041</v>
      </c>
      <c r="J8" t="s">
        <v>1443</v>
      </c>
    </row>
    <row r="9" spans="1:10" x14ac:dyDescent="0.3">
      <c r="A9" t="s">
        <v>498</v>
      </c>
      <c r="B9" t="s">
        <v>209</v>
      </c>
      <c r="C9" t="s">
        <v>129</v>
      </c>
      <c r="E9" t="s">
        <v>1483</v>
      </c>
      <c r="G9" t="s">
        <v>1611</v>
      </c>
      <c r="H9" t="s">
        <v>1587</v>
      </c>
      <c r="I9" t="s">
        <v>2045</v>
      </c>
      <c r="J9" t="s">
        <v>1443</v>
      </c>
    </row>
    <row r="10" spans="1:10" x14ac:dyDescent="0.3">
      <c r="A10" t="s">
        <v>432</v>
      </c>
      <c r="B10" t="s">
        <v>213</v>
      </c>
      <c r="C10" t="s">
        <v>129</v>
      </c>
    </row>
    <row r="11" spans="1:10" x14ac:dyDescent="0.3">
      <c r="A11" t="s">
        <v>433</v>
      </c>
      <c r="B11" t="s">
        <v>214</v>
      </c>
      <c r="C11" t="s">
        <v>129</v>
      </c>
    </row>
    <row r="12" spans="1:10" x14ac:dyDescent="0.3">
      <c r="A12" t="s">
        <v>434</v>
      </c>
      <c r="B12" t="s">
        <v>215</v>
      </c>
      <c r="C12" t="s">
        <v>129</v>
      </c>
    </row>
    <row r="13" spans="1:10" x14ac:dyDescent="0.3">
      <c r="A13" t="s">
        <v>437</v>
      </c>
      <c r="B13" t="s">
        <v>212</v>
      </c>
      <c r="C13" t="s">
        <v>130</v>
      </c>
    </row>
    <row r="14" spans="1:10" x14ac:dyDescent="0.3">
      <c r="A14" t="s">
        <v>438</v>
      </c>
      <c r="B14" t="s">
        <v>212</v>
      </c>
      <c r="C14" t="s">
        <v>130</v>
      </c>
    </row>
    <row r="15" spans="1:10" x14ac:dyDescent="0.3">
      <c r="A15" t="s">
        <v>436</v>
      </c>
      <c r="B15" t="s">
        <v>212</v>
      </c>
      <c r="C15" t="s">
        <v>130</v>
      </c>
    </row>
    <row r="16" spans="1:10" x14ac:dyDescent="0.3">
      <c r="A16" t="s">
        <v>505</v>
      </c>
      <c r="B16" t="s">
        <v>211</v>
      </c>
      <c r="C16" t="s">
        <v>130</v>
      </c>
    </row>
    <row r="17" spans="1:3" x14ac:dyDescent="0.3">
      <c r="A17" t="s">
        <v>504</v>
      </c>
      <c r="B17" t="s">
        <v>210</v>
      </c>
      <c r="C17" t="s">
        <v>130</v>
      </c>
    </row>
    <row r="18" spans="1:3" x14ac:dyDescent="0.3">
      <c r="A18" t="s">
        <v>503</v>
      </c>
      <c r="B18" t="s">
        <v>543</v>
      </c>
      <c r="C18" t="s">
        <v>130</v>
      </c>
    </row>
    <row r="19" spans="1:3" x14ac:dyDescent="0.3">
      <c r="A19" t="s">
        <v>502</v>
      </c>
      <c r="B19" t="s">
        <v>209</v>
      </c>
      <c r="C19" t="s">
        <v>130</v>
      </c>
    </row>
    <row r="20" spans="1:3" x14ac:dyDescent="0.3">
      <c r="A20" t="s">
        <v>441</v>
      </c>
      <c r="B20" t="s">
        <v>213</v>
      </c>
      <c r="C20" t="s">
        <v>130</v>
      </c>
    </row>
    <row r="21" spans="1:3" x14ac:dyDescent="0.3">
      <c r="A21" t="s">
        <v>439</v>
      </c>
      <c r="B21" t="s">
        <v>216</v>
      </c>
      <c r="C21" t="s">
        <v>130</v>
      </c>
    </row>
    <row r="22" spans="1:3" x14ac:dyDescent="0.3">
      <c r="A22" t="s">
        <v>440</v>
      </c>
      <c r="B22" t="s">
        <v>217</v>
      </c>
      <c r="C22" t="s">
        <v>130</v>
      </c>
    </row>
    <row r="23" spans="1:3" x14ac:dyDescent="0.3">
      <c r="A23" t="s">
        <v>442</v>
      </c>
      <c r="B23" t="s">
        <v>218</v>
      </c>
      <c r="C23" t="s">
        <v>130</v>
      </c>
    </row>
    <row r="24" spans="1:3" x14ac:dyDescent="0.3">
      <c r="A24" t="s">
        <v>445</v>
      </c>
      <c r="B24" t="s">
        <v>212</v>
      </c>
      <c r="C24" t="s">
        <v>131</v>
      </c>
    </row>
    <row r="25" spans="1:3" x14ac:dyDescent="0.3">
      <c r="A25" t="s">
        <v>446</v>
      </c>
      <c r="B25" t="s">
        <v>212</v>
      </c>
      <c r="C25" t="s">
        <v>131</v>
      </c>
    </row>
    <row r="26" spans="1:3" x14ac:dyDescent="0.3">
      <c r="A26" t="s">
        <v>444</v>
      </c>
      <c r="B26" t="s">
        <v>212</v>
      </c>
      <c r="C26" t="s">
        <v>131</v>
      </c>
    </row>
    <row r="27" spans="1:3" x14ac:dyDescent="0.3">
      <c r="A27" t="s">
        <v>443</v>
      </c>
      <c r="B27" t="s">
        <v>212</v>
      </c>
      <c r="C27" t="s">
        <v>131</v>
      </c>
    </row>
    <row r="28" spans="1:3" x14ac:dyDescent="0.3">
      <c r="A28" t="s">
        <v>509</v>
      </c>
      <c r="B28" t="s">
        <v>211</v>
      </c>
      <c r="C28" t="s">
        <v>131</v>
      </c>
    </row>
    <row r="29" spans="1:3" x14ac:dyDescent="0.3">
      <c r="A29" t="s">
        <v>508</v>
      </c>
      <c r="B29" t="s">
        <v>210</v>
      </c>
      <c r="C29" t="s">
        <v>131</v>
      </c>
    </row>
    <row r="30" spans="1:3" x14ac:dyDescent="0.3">
      <c r="A30" t="s">
        <v>507</v>
      </c>
      <c r="B30" t="s">
        <v>543</v>
      </c>
      <c r="C30" t="s">
        <v>131</v>
      </c>
    </row>
    <row r="31" spans="1:3" x14ac:dyDescent="0.3">
      <c r="A31" t="s">
        <v>506</v>
      </c>
      <c r="B31" t="s">
        <v>209</v>
      </c>
      <c r="C31" t="s">
        <v>131</v>
      </c>
    </row>
    <row r="32" spans="1:3" x14ac:dyDescent="0.3">
      <c r="A32" t="s">
        <v>447</v>
      </c>
      <c r="B32" t="s">
        <v>216</v>
      </c>
      <c r="C32" t="s">
        <v>131</v>
      </c>
    </row>
    <row r="33" spans="1:3" x14ac:dyDescent="0.3">
      <c r="A33" t="s">
        <v>448</v>
      </c>
      <c r="B33" t="s">
        <v>217</v>
      </c>
      <c r="C33" t="s">
        <v>131</v>
      </c>
    </row>
    <row r="34" spans="1:3" x14ac:dyDescent="0.3">
      <c r="A34" t="s">
        <v>449</v>
      </c>
      <c r="B34" t="s">
        <v>218</v>
      </c>
      <c r="C34" t="s">
        <v>131</v>
      </c>
    </row>
    <row r="35" spans="1:3" x14ac:dyDescent="0.3">
      <c r="A35" t="s">
        <v>453</v>
      </c>
      <c r="B35" t="s">
        <v>212</v>
      </c>
      <c r="C35" t="s">
        <v>134</v>
      </c>
    </row>
    <row r="36" spans="1:3" x14ac:dyDescent="0.3">
      <c r="A36" t="s">
        <v>451</v>
      </c>
      <c r="B36" t="s">
        <v>212</v>
      </c>
      <c r="C36" t="s">
        <v>134</v>
      </c>
    </row>
    <row r="37" spans="1:3" x14ac:dyDescent="0.3">
      <c r="A37" t="s">
        <v>450</v>
      </c>
      <c r="B37" t="s">
        <v>212</v>
      </c>
      <c r="C37" t="s">
        <v>134</v>
      </c>
    </row>
    <row r="38" spans="1:3" x14ac:dyDescent="0.3">
      <c r="A38" t="s">
        <v>452</v>
      </c>
      <c r="B38" t="s">
        <v>212</v>
      </c>
      <c r="C38" t="s">
        <v>134</v>
      </c>
    </row>
    <row r="39" spans="1:3" x14ac:dyDescent="0.3">
      <c r="A39" t="s">
        <v>513</v>
      </c>
      <c r="B39" t="s">
        <v>211</v>
      </c>
      <c r="C39" t="s">
        <v>134</v>
      </c>
    </row>
    <row r="40" spans="1:3" x14ac:dyDescent="0.3">
      <c r="A40" t="s">
        <v>512</v>
      </c>
      <c r="B40" t="s">
        <v>210</v>
      </c>
      <c r="C40" t="s">
        <v>134</v>
      </c>
    </row>
    <row r="41" spans="1:3" x14ac:dyDescent="0.3">
      <c r="A41" t="s">
        <v>511</v>
      </c>
      <c r="B41" t="s">
        <v>543</v>
      </c>
      <c r="C41" t="s">
        <v>134</v>
      </c>
    </row>
    <row r="42" spans="1:3" x14ac:dyDescent="0.3">
      <c r="A42" t="s">
        <v>510</v>
      </c>
      <c r="B42" t="s">
        <v>209</v>
      </c>
      <c r="C42" t="s">
        <v>134</v>
      </c>
    </row>
    <row r="43" spans="1:3" x14ac:dyDescent="0.3">
      <c r="A43" t="s">
        <v>456</v>
      </c>
      <c r="B43" t="s">
        <v>213</v>
      </c>
      <c r="C43" t="s">
        <v>134</v>
      </c>
    </row>
    <row r="44" spans="1:3" x14ac:dyDescent="0.3">
      <c r="A44" t="s">
        <v>454</v>
      </c>
      <c r="B44" t="s">
        <v>216</v>
      </c>
      <c r="C44" t="s">
        <v>134</v>
      </c>
    </row>
    <row r="45" spans="1:3" x14ac:dyDescent="0.3">
      <c r="A45" t="s">
        <v>455</v>
      </c>
      <c r="B45" t="s">
        <v>217</v>
      </c>
      <c r="C45" t="s">
        <v>134</v>
      </c>
    </row>
    <row r="46" spans="1:3" x14ac:dyDescent="0.3">
      <c r="A46" t="s">
        <v>457</v>
      </c>
      <c r="B46" t="s">
        <v>218</v>
      </c>
      <c r="C46" t="s">
        <v>134</v>
      </c>
    </row>
    <row r="47" spans="1:3" x14ac:dyDescent="0.3">
      <c r="A47" t="s">
        <v>458</v>
      </c>
      <c r="B47" t="s">
        <v>218</v>
      </c>
      <c r="C47" t="s">
        <v>134</v>
      </c>
    </row>
    <row r="48" spans="1:3" x14ac:dyDescent="0.3">
      <c r="A48" t="s">
        <v>461</v>
      </c>
      <c r="B48" t="s">
        <v>212</v>
      </c>
      <c r="C48" t="s">
        <v>135</v>
      </c>
    </row>
    <row r="49" spans="1:3" x14ac:dyDescent="0.3">
      <c r="A49" t="s">
        <v>462</v>
      </c>
      <c r="B49" t="s">
        <v>212</v>
      </c>
      <c r="C49" t="s">
        <v>135</v>
      </c>
    </row>
    <row r="50" spans="1:3" x14ac:dyDescent="0.3">
      <c r="A50" t="s">
        <v>460</v>
      </c>
      <c r="B50" t="s">
        <v>212</v>
      </c>
      <c r="C50" t="s">
        <v>135</v>
      </c>
    </row>
    <row r="51" spans="1:3" x14ac:dyDescent="0.3">
      <c r="A51" t="s">
        <v>459</v>
      </c>
      <c r="B51" t="s">
        <v>212</v>
      </c>
      <c r="C51" t="s">
        <v>135</v>
      </c>
    </row>
    <row r="52" spans="1:3" x14ac:dyDescent="0.3">
      <c r="A52" t="s">
        <v>517</v>
      </c>
      <c r="B52" t="s">
        <v>211</v>
      </c>
      <c r="C52" t="s">
        <v>135</v>
      </c>
    </row>
    <row r="53" spans="1:3" x14ac:dyDescent="0.3">
      <c r="A53" t="s">
        <v>516</v>
      </c>
      <c r="B53" t="s">
        <v>210</v>
      </c>
      <c r="C53" t="s">
        <v>135</v>
      </c>
    </row>
    <row r="54" spans="1:3" x14ac:dyDescent="0.3">
      <c r="A54" t="s">
        <v>515</v>
      </c>
      <c r="B54" t="s">
        <v>543</v>
      </c>
      <c r="C54" t="s">
        <v>135</v>
      </c>
    </row>
    <row r="55" spans="1:3" x14ac:dyDescent="0.3">
      <c r="A55" t="s">
        <v>514</v>
      </c>
      <c r="B55" t="s">
        <v>209</v>
      </c>
      <c r="C55" t="s">
        <v>135</v>
      </c>
    </row>
    <row r="56" spans="1:3" x14ac:dyDescent="0.3">
      <c r="A56" t="s">
        <v>463</v>
      </c>
      <c r="B56" t="s">
        <v>216</v>
      </c>
      <c r="C56" t="s">
        <v>135</v>
      </c>
    </row>
    <row r="57" spans="1:3" x14ac:dyDescent="0.3">
      <c r="A57" t="s">
        <v>464</v>
      </c>
      <c r="B57" t="s">
        <v>217</v>
      </c>
      <c r="C57" t="s">
        <v>135</v>
      </c>
    </row>
    <row r="58" spans="1:3" x14ac:dyDescent="0.3">
      <c r="A58" t="s">
        <v>465</v>
      </c>
      <c r="B58" t="s">
        <v>218</v>
      </c>
      <c r="C58" t="s">
        <v>135</v>
      </c>
    </row>
    <row r="59" spans="1:3" x14ac:dyDescent="0.3">
      <c r="A59" t="s">
        <v>468</v>
      </c>
      <c r="B59" t="s">
        <v>212</v>
      </c>
      <c r="C59" t="s">
        <v>136</v>
      </c>
    </row>
    <row r="60" spans="1:3" x14ac:dyDescent="0.3">
      <c r="A60" t="s">
        <v>469</v>
      </c>
      <c r="B60" t="s">
        <v>212</v>
      </c>
      <c r="C60" t="s">
        <v>136</v>
      </c>
    </row>
    <row r="61" spans="1:3" x14ac:dyDescent="0.3">
      <c r="A61" t="s">
        <v>467</v>
      </c>
      <c r="B61" t="s">
        <v>212</v>
      </c>
      <c r="C61" t="s">
        <v>136</v>
      </c>
    </row>
    <row r="62" spans="1:3" x14ac:dyDescent="0.3">
      <c r="A62" t="s">
        <v>466</v>
      </c>
      <c r="B62" t="s">
        <v>212</v>
      </c>
      <c r="C62" t="s">
        <v>136</v>
      </c>
    </row>
    <row r="63" spans="1:3" x14ac:dyDescent="0.3">
      <c r="A63" t="s">
        <v>521</v>
      </c>
      <c r="B63" t="s">
        <v>211</v>
      </c>
      <c r="C63" t="s">
        <v>136</v>
      </c>
    </row>
    <row r="64" spans="1:3" x14ac:dyDescent="0.3">
      <c r="A64" t="s">
        <v>520</v>
      </c>
      <c r="B64" t="s">
        <v>210</v>
      </c>
      <c r="C64" t="s">
        <v>136</v>
      </c>
    </row>
    <row r="65" spans="1:3" x14ac:dyDescent="0.3">
      <c r="A65" t="s">
        <v>519</v>
      </c>
      <c r="B65" t="s">
        <v>543</v>
      </c>
      <c r="C65" t="s">
        <v>136</v>
      </c>
    </row>
    <row r="66" spans="1:3" x14ac:dyDescent="0.3">
      <c r="A66" t="s">
        <v>518</v>
      </c>
      <c r="B66" t="s">
        <v>209</v>
      </c>
      <c r="C66" t="s">
        <v>136</v>
      </c>
    </row>
    <row r="67" spans="1:3" x14ac:dyDescent="0.3">
      <c r="A67" t="s">
        <v>472</v>
      </c>
      <c r="B67" t="s">
        <v>213</v>
      </c>
      <c r="C67" t="s">
        <v>136</v>
      </c>
    </row>
    <row r="68" spans="1:3" x14ac:dyDescent="0.3">
      <c r="A68" t="s">
        <v>470</v>
      </c>
      <c r="B68" t="s">
        <v>216</v>
      </c>
      <c r="C68" t="s">
        <v>136</v>
      </c>
    </row>
    <row r="69" spans="1:3" x14ac:dyDescent="0.3">
      <c r="A69" t="s">
        <v>471</v>
      </c>
      <c r="B69" t="s">
        <v>217</v>
      </c>
      <c r="C69" t="s">
        <v>136</v>
      </c>
    </row>
    <row r="70" spans="1:3" x14ac:dyDescent="0.3">
      <c r="A70" t="s">
        <v>473</v>
      </c>
      <c r="B70" t="s">
        <v>218</v>
      </c>
      <c r="C70" t="s">
        <v>136</v>
      </c>
    </row>
    <row r="71" spans="1:3" x14ac:dyDescent="0.3">
      <c r="A71" t="s">
        <v>476</v>
      </c>
      <c r="B71" t="s">
        <v>212</v>
      </c>
      <c r="C71" t="s">
        <v>137</v>
      </c>
    </row>
    <row r="72" spans="1:3" x14ac:dyDescent="0.3">
      <c r="A72" t="s">
        <v>477</v>
      </c>
      <c r="B72" t="s">
        <v>212</v>
      </c>
      <c r="C72" t="s">
        <v>137</v>
      </c>
    </row>
    <row r="73" spans="1:3" x14ac:dyDescent="0.3">
      <c r="A73" t="s">
        <v>475</v>
      </c>
      <c r="B73" t="s">
        <v>212</v>
      </c>
      <c r="C73" t="s">
        <v>137</v>
      </c>
    </row>
    <row r="74" spans="1:3" x14ac:dyDescent="0.3">
      <c r="A74" t="s">
        <v>474</v>
      </c>
      <c r="B74" t="s">
        <v>212</v>
      </c>
      <c r="C74" t="s">
        <v>137</v>
      </c>
    </row>
    <row r="75" spans="1:3" x14ac:dyDescent="0.3">
      <c r="A75" t="s">
        <v>525</v>
      </c>
      <c r="B75" t="s">
        <v>211</v>
      </c>
      <c r="C75" t="s">
        <v>137</v>
      </c>
    </row>
    <row r="76" spans="1:3" x14ac:dyDescent="0.3">
      <c r="A76" t="s">
        <v>524</v>
      </c>
      <c r="B76" t="s">
        <v>210</v>
      </c>
      <c r="C76" t="s">
        <v>137</v>
      </c>
    </row>
    <row r="77" spans="1:3" x14ac:dyDescent="0.3">
      <c r="A77" t="s">
        <v>523</v>
      </c>
      <c r="B77" t="s">
        <v>543</v>
      </c>
      <c r="C77" t="s">
        <v>137</v>
      </c>
    </row>
    <row r="78" spans="1:3" x14ac:dyDescent="0.3">
      <c r="A78" t="s">
        <v>522</v>
      </c>
      <c r="B78" t="s">
        <v>209</v>
      </c>
      <c r="C78" t="s">
        <v>137</v>
      </c>
    </row>
    <row r="79" spans="1:3" x14ac:dyDescent="0.3">
      <c r="A79" t="s">
        <v>478</v>
      </c>
      <c r="B79" t="s">
        <v>216</v>
      </c>
      <c r="C79" t="s">
        <v>137</v>
      </c>
    </row>
    <row r="80" spans="1:3" x14ac:dyDescent="0.3">
      <c r="A80" t="s">
        <v>479</v>
      </c>
      <c r="B80" t="s">
        <v>217</v>
      </c>
      <c r="C80" t="s">
        <v>137</v>
      </c>
    </row>
    <row r="81" spans="1:3" x14ac:dyDescent="0.3">
      <c r="A81" t="s">
        <v>480</v>
      </c>
      <c r="B81" t="s">
        <v>218</v>
      </c>
      <c r="C81" t="s">
        <v>137</v>
      </c>
    </row>
    <row r="82" spans="1:3" x14ac:dyDescent="0.3">
      <c r="A82" t="s">
        <v>483</v>
      </c>
      <c r="B82" t="s">
        <v>212</v>
      </c>
      <c r="C82" t="s">
        <v>138</v>
      </c>
    </row>
    <row r="83" spans="1:3" x14ac:dyDescent="0.3">
      <c r="A83" t="s">
        <v>484</v>
      </c>
      <c r="B83" t="s">
        <v>212</v>
      </c>
      <c r="C83" t="s">
        <v>138</v>
      </c>
    </row>
    <row r="84" spans="1:3" x14ac:dyDescent="0.3">
      <c r="A84" t="s">
        <v>482</v>
      </c>
      <c r="B84" t="s">
        <v>212</v>
      </c>
      <c r="C84" t="s">
        <v>138</v>
      </c>
    </row>
    <row r="85" spans="1:3" x14ac:dyDescent="0.3">
      <c r="A85" t="s">
        <v>481</v>
      </c>
      <c r="B85" t="s">
        <v>212</v>
      </c>
      <c r="C85" t="s">
        <v>138</v>
      </c>
    </row>
    <row r="86" spans="1:3" x14ac:dyDescent="0.3">
      <c r="A86" t="s">
        <v>529</v>
      </c>
      <c r="B86" t="s">
        <v>211</v>
      </c>
      <c r="C86" t="s">
        <v>138</v>
      </c>
    </row>
    <row r="87" spans="1:3" x14ac:dyDescent="0.3">
      <c r="A87" t="s">
        <v>528</v>
      </c>
      <c r="B87" t="s">
        <v>210</v>
      </c>
      <c r="C87" t="s">
        <v>138</v>
      </c>
    </row>
    <row r="88" spans="1:3" x14ac:dyDescent="0.3">
      <c r="A88" t="s">
        <v>527</v>
      </c>
      <c r="B88" t="s">
        <v>543</v>
      </c>
      <c r="C88" t="s">
        <v>138</v>
      </c>
    </row>
    <row r="89" spans="1:3" x14ac:dyDescent="0.3">
      <c r="A89" t="s">
        <v>526</v>
      </c>
      <c r="B89" t="s">
        <v>209</v>
      </c>
      <c r="C89" t="s">
        <v>138</v>
      </c>
    </row>
    <row r="90" spans="1:3" x14ac:dyDescent="0.3">
      <c r="A90" t="s">
        <v>486</v>
      </c>
      <c r="B90" t="s">
        <v>213</v>
      </c>
      <c r="C90" t="s">
        <v>138</v>
      </c>
    </row>
    <row r="91" spans="1:3" x14ac:dyDescent="0.3">
      <c r="A91" t="s">
        <v>485</v>
      </c>
      <c r="B91" t="s">
        <v>216</v>
      </c>
      <c r="C91" t="s">
        <v>138</v>
      </c>
    </row>
    <row r="92" spans="1:3" x14ac:dyDescent="0.3">
      <c r="A92" t="s">
        <v>487</v>
      </c>
      <c r="B92" t="s">
        <v>217</v>
      </c>
      <c r="C92" t="s">
        <v>138</v>
      </c>
    </row>
    <row r="93" spans="1:3" x14ac:dyDescent="0.3">
      <c r="A93" t="s">
        <v>488</v>
      </c>
      <c r="B93" t="s">
        <v>218</v>
      </c>
      <c r="C93" t="s">
        <v>138</v>
      </c>
    </row>
    <row r="94" spans="1:3" x14ac:dyDescent="0.3">
      <c r="A94" t="s">
        <v>492</v>
      </c>
      <c r="B94" t="s">
        <v>212</v>
      </c>
      <c r="C94" t="s">
        <v>139</v>
      </c>
    </row>
    <row r="95" spans="1:3" x14ac:dyDescent="0.3">
      <c r="A95" t="s">
        <v>493</v>
      </c>
      <c r="B95" t="s">
        <v>212</v>
      </c>
      <c r="C95" t="s">
        <v>139</v>
      </c>
    </row>
    <row r="96" spans="1:3" x14ac:dyDescent="0.3">
      <c r="A96" t="s">
        <v>489</v>
      </c>
      <c r="B96" t="s">
        <v>212</v>
      </c>
      <c r="C96" t="s">
        <v>139</v>
      </c>
    </row>
    <row r="97" spans="1:3" x14ac:dyDescent="0.3">
      <c r="A97" t="s">
        <v>491</v>
      </c>
      <c r="B97" t="s">
        <v>212</v>
      </c>
      <c r="C97" t="s">
        <v>139</v>
      </c>
    </row>
    <row r="98" spans="1:3" x14ac:dyDescent="0.3">
      <c r="A98" t="s">
        <v>490</v>
      </c>
      <c r="B98" t="s">
        <v>212</v>
      </c>
      <c r="C98" t="s">
        <v>139</v>
      </c>
    </row>
    <row r="99" spans="1:3" x14ac:dyDescent="0.3">
      <c r="A99" t="s">
        <v>533</v>
      </c>
      <c r="B99" t="s">
        <v>211</v>
      </c>
      <c r="C99" t="s">
        <v>139</v>
      </c>
    </row>
    <row r="100" spans="1:3" x14ac:dyDescent="0.3">
      <c r="A100" t="s">
        <v>532</v>
      </c>
      <c r="B100" t="s">
        <v>210</v>
      </c>
      <c r="C100" t="s">
        <v>139</v>
      </c>
    </row>
    <row r="101" spans="1:3" x14ac:dyDescent="0.3">
      <c r="A101" t="s">
        <v>531</v>
      </c>
      <c r="B101" t="s">
        <v>543</v>
      </c>
      <c r="C101" t="s">
        <v>139</v>
      </c>
    </row>
    <row r="102" spans="1:3" x14ac:dyDescent="0.3">
      <c r="A102" t="s">
        <v>530</v>
      </c>
      <c r="B102" t="s">
        <v>209</v>
      </c>
      <c r="C102" t="s">
        <v>139</v>
      </c>
    </row>
    <row r="103" spans="1:3" x14ac:dyDescent="0.3">
      <c r="A103" t="s">
        <v>494</v>
      </c>
      <c r="B103" t="s">
        <v>216</v>
      </c>
      <c r="C103" t="s">
        <v>139</v>
      </c>
    </row>
    <row r="104" spans="1:3" x14ac:dyDescent="0.3">
      <c r="A104" t="s">
        <v>495</v>
      </c>
      <c r="B104" t="s">
        <v>217</v>
      </c>
      <c r="C104" t="s">
        <v>139</v>
      </c>
    </row>
    <row r="105" spans="1:3" x14ac:dyDescent="0.3">
      <c r="A105" t="s">
        <v>496</v>
      </c>
      <c r="B105" t="s">
        <v>218</v>
      </c>
      <c r="C105" t="s">
        <v>139</v>
      </c>
    </row>
    <row r="106" spans="1:3" x14ac:dyDescent="0.3">
      <c r="A106" t="s">
        <v>497</v>
      </c>
      <c r="B106" t="s">
        <v>218</v>
      </c>
      <c r="C106" t="s">
        <v>139</v>
      </c>
    </row>
    <row r="107" spans="1:3" x14ac:dyDescent="0.3">
      <c r="A107" t="s">
        <v>268</v>
      </c>
      <c r="B107" t="s">
        <v>212</v>
      </c>
      <c r="C107" t="s">
        <v>140</v>
      </c>
    </row>
    <row r="108" spans="1:3" x14ac:dyDescent="0.3">
      <c r="A108" t="s">
        <v>260</v>
      </c>
      <c r="B108" t="s">
        <v>212</v>
      </c>
      <c r="C108" t="s">
        <v>140</v>
      </c>
    </row>
    <row r="109" spans="1:3" x14ac:dyDescent="0.3">
      <c r="A109" t="s">
        <v>258</v>
      </c>
      <c r="B109" t="s">
        <v>212</v>
      </c>
      <c r="C109" t="s">
        <v>140</v>
      </c>
    </row>
    <row r="110" spans="1:3" x14ac:dyDescent="0.3">
      <c r="A110" t="s">
        <v>259</v>
      </c>
      <c r="B110" t="s">
        <v>212</v>
      </c>
      <c r="C110" t="s">
        <v>140</v>
      </c>
    </row>
    <row r="111" spans="1:3" x14ac:dyDescent="0.3">
      <c r="A111" t="s">
        <v>261</v>
      </c>
      <c r="B111" t="s">
        <v>212</v>
      </c>
      <c r="C111" t="s">
        <v>140</v>
      </c>
    </row>
    <row r="112" spans="1:3" x14ac:dyDescent="0.3">
      <c r="A112" t="s">
        <v>272</v>
      </c>
      <c r="B112" t="s">
        <v>211</v>
      </c>
      <c r="C112" t="s">
        <v>140</v>
      </c>
    </row>
    <row r="113" spans="1:3" x14ac:dyDescent="0.3">
      <c r="A113" t="s">
        <v>271</v>
      </c>
      <c r="B113" t="s">
        <v>210</v>
      </c>
      <c r="C113" t="s">
        <v>140</v>
      </c>
    </row>
    <row r="114" spans="1:3" x14ac:dyDescent="0.3">
      <c r="A114" t="s">
        <v>270</v>
      </c>
      <c r="B114" t="s">
        <v>543</v>
      </c>
      <c r="C114" t="s">
        <v>140</v>
      </c>
    </row>
    <row r="115" spans="1:3" x14ac:dyDescent="0.3">
      <c r="A115" t="s">
        <v>269</v>
      </c>
      <c r="B115" t="s">
        <v>209</v>
      </c>
      <c r="C115" t="s">
        <v>140</v>
      </c>
    </row>
    <row r="116" spans="1:3" x14ac:dyDescent="0.3">
      <c r="A116" t="s">
        <v>264</v>
      </c>
      <c r="B116" t="s">
        <v>213</v>
      </c>
      <c r="C116" t="s">
        <v>140</v>
      </c>
    </row>
    <row r="117" spans="1:3" x14ac:dyDescent="0.3">
      <c r="A117" t="s">
        <v>262</v>
      </c>
      <c r="B117" t="s">
        <v>216</v>
      </c>
      <c r="C117" t="s">
        <v>140</v>
      </c>
    </row>
    <row r="118" spans="1:3" x14ac:dyDescent="0.3">
      <c r="A118" t="s">
        <v>263</v>
      </c>
      <c r="B118" t="s">
        <v>217</v>
      </c>
      <c r="C118" t="s">
        <v>140</v>
      </c>
    </row>
    <row r="119" spans="1:3" x14ac:dyDescent="0.3">
      <c r="A119" t="s">
        <v>265</v>
      </c>
      <c r="B119" t="s">
        <v>218</v>
      </c>
      <c r="C119" t="s">
        <v>140</v>
      </c>
    </row>
    <row r="120" spans="1:3" x14ac:dyDescent="0.3">
      <c r="A120" t="s">
        <v>266</v>
      </c>
      <c r="B120" t="s">
        <v>218</v>
      </c>
      <c r="C120" t="s">
        <v>140</v>
      </c>
    </row>
    <row r="121" spans="1:3" x14ac:dyDescent="0.3">
      <c r="A121" t="s">
        <v>267</v>
      </c>
      <c r="B121" t="s">
        <v>218</v>
      </c>
      <c r="C121" t="s">
        <v>140</v>
      </c>
    </row>
    <row r="122" spans="1:3" x14ac:dyDescent="0.3">
      <c r="A122" t="s">
        <v>541</v>
      </c>
      <c r="B122" t="s">
        <v>211</v>
      </c>
      <c r="C122" t="s">
        <v>208</v>
      </c>
    </row>
    <row r="123" spans="1:3" x14ac:dyDescent="0.3">
      <c r="A123" t="s">
        <v>540</v>
      </c>
      <c r="B123" t="s">
        <v>210</v>
      </c>
      <c r="C123" t="s">
        <v>208</v>
      </c>
    </row>
    <row r="124" spans="1:3" x14ac:dyDescent="0.3">
      <c r="A124" t="s">
        <v>539</v>
      </c>
      <c r="B124" t="s">
        <v>543</v>
      </c>
      <c r="C124" t="s">
        <v>208</v>
      </c>
    </row>
    <row r="125" spans="1:3" x14ac:dyDescent="0.3">
      <c r="A125" t="s">
        <v>538</v>
      </c>
      <c r="B125" t="s">
        <v>209</v>
      </c>
      <c r="C125" t="s">
        <v>208</v>
      </c>
    </row>
    <row r="126" spans="1:3" x14ac:dyDescent="0.3">
      <c r="A126" t="s">
        <v>537</v>
      </c>
      <c r="B126" t="s">
        <v>211</v>
      </c>
      <c r="C126" t="s">
        <v>207</v>
      </c>
    </row>
    <row r="127" spans="1:3" x14ac:dyDescent="0.3">
      <c r="A127" t="s">
        <v>536</v>
      </c>
      <c r="B127" t="s">
        <v>210</v>
      </c>
      <c r="C127" t="s">
        <v>207</v>
      </c>
    </row>
    <row r="128" spans="1:3" x14ac:dyDescent="0.3">
      <c r="A128" t="s">
        <v>535</v>
      </c>
      <c r="B128" t="s">
        <v>543</v>
      </c>
      <c r="C128" t="s">
        <v>207</v>
      </c>
    </row>
    <row r="129" spans="1:3" x14ac:dyDescent="0.3">
      <c r="A129" t="s">
        <v>534</v>
      </c>
      <c r="B129" t="s">
        <v>209</v>
      </c>
      <c r="C129" t="s">
        <v>207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F1979-F821-46B7-874E-32DEBB482C4D}">
  <sheetPr codeName="Sheet24"/>
  <dimension ref="A1:C60"/>
  <sheetViews>
    <sheetView topLeftCell="A38" workbookViewId="0">
      <selection activeCell="C47" sqref="C47"/>
    </sheetView>
  </sheetViews>
  <sheetFormatPr defaultRowHeight="16.5" x14ac:dyDescent="0.3"/>
  <cols>
    <col min="1" max="1" width="37.375" customWidth="1"/>
    <col min="2" max="2" width="23.75" customWidth="1"/>
    <col min="3" max="3" width="43.75" customWidth="1"/>
  </cols>
  <sheetData>
    <row r="1" spans="1:3" x14ac:dyDescent="0.3">
      <c r="A1" t="s">
        <v>1</v>
      </c>
      <c r="B1" t="s">
        <v>16</v>
      </c>
      <c r="C1" t="s">
        <v>197</v>
      </c>
    </row>
    <row r="2" spans="1:3" x14ac:dyDescent="0.3">
      <c r="A2" t="s">
        <v>178</v>
      </c>
      <c r="B2" t="s">
        <v>229</v>
      </c>
      <c r="C2" t="str">
        <f>Table26[[#This Row],[Column1]] &amp; "_" &amp; Table26[[#This Row],[Column2]]</f>
        <v>AHU_0200_HS_BTNAHU_PHASE</v>
      </c>
    </row>
    <row r="3" spans="1:3" x14ac:dyDescent="0.3">
      <c r="A3" t="s">
        <v>178</v>
      </c>
      <c r="B3" t="s">
        <v>230</v>
      </c>
      <c r="C3" t="str">
        <f>Table26[[#This Row],[Column1]] &amp; "_" &amp; Table26[[#This Row],[Column2]]</f>
        <v>AHU_0200_HS_BTAHU_MICRO</v>
      </c>
    </row>
    <row r="4" spans="1:3" x14ac:dyDescent="0.3">
      <c r="A4" t="s">
        <v>178</v>
      </c>
      <c r="B4" t="s">
        <v>231</v>
      </c>
      <c r="C4" t="str">
        <f>Table26[[#This Row],[Column1]] &amp; "_" &amp; Table26[[#This Row],[Column2]]</f>
        <v>AHU_0200_HS_BTAHU_ES</v>
      </c>
    </row>
    <row r="5" spans="1:3" x14ac:dyDescent="0.3">
      <c r="A5" t="s">
        <v>178</v>
      </c>
      <c r="B5" t="s">
        <v>232</v>
      </c>
      <c r="C5" t="str">
        <f>Table26[[#This Row],[Column1]] &amp; "_" &amp; Table26[[#This Row],[Column2]]</f>
        <v>AHU_0200_FC_OK</v>
      </c>
    </row>
    <row r="6" spans="1:3" hidden="1" x14ac:dyDescent="0.3">
      <c r="C6" t="str">
        <f>Table26[[#This Row],[Column1]] &amp; "_" &amp; Table26[[#This Row],[Column2]]</f>
        <v>_</v>
      </c>
    </row>
    <row r="7" spans="1:3" x14ac:dyDescent="0.3">
      <c r="A7" t="s">
        <v>179</v>
      </c>
      <c r="B7" t="s">
        <v>229</v>
      </c>
      <c r="C7" t="str">
        <f>Table26[[#This Row],[Column1]] &amp; "_" &amp; Table26[[#This Row],[Column2]]</f>
        <v>AHU_0201_HS_BTNAHU_PHASE</v>
      </c>
    </row>
    <row r="8" spans="1:3" x14ac:dyDescent="0.3">
      <c r="A8" t="s">
        <v>179</v>
      </c>
      <c r="B8" t="s">
        <v>230</v>
      </c>
      <c r="C8" t="str">
        <f>Table26[[#This Row],[Column1]] &amp; "_" &amp; Table26[[#This Row],[Column2]]</f>
        <v>AHU_0201_HS_BTAHU_MICRO</v>
      </c>
    </row>
    <row r="9" spans="1:3" x14ac:dyDescent="0.3">
      <c r="A9" t="s">
        <v>179</v>
      </c>
      <c r="B9" t="s">
        <v>231</v>
      </c>
      <c r="C9" t="str">
        <f>Table26[[#This Row],[Column1]] &amp; "_" &amp; Table26[[#This Row],[Column2]]</f>
        <v>AHU_0201_HS_BTAHU_ES</v>
      </c>
    </row>
    <row r="10" spans="1:3" x14ac:dyDescent="0.3">
      <c r="A10" t="s">
        <v>179</v>
      </c>
      <c r="B10" t="s">
        <v>232</v>
      </c>
      <c r="C10" t="str">
        <f>Table26[[#This Row],[Column1]] &amp; "_" &amp; Table26[[#This Row],[Column2]]</f>
        <v>AHU_0201_FC_OK</v>
      </c>
    </row>
    <row r="11" spans="1:3" hidden="1" x14ac:dyDescent="0.3">
      <c r="C11" t="str">
        <f>Table26[[#This Row],[Column1]] &amp; "_" &amp; Table26[[#This Row],[Column2]]</f>
        <v>_</v>
      </c>
    </row>
    <row r="12" spans="1:3" x14ac:dyDescent="0.3">
      <c r="A12" t="s">
        <v>180</v>
      </c>
      <c r="B12" t="s">
        <v>229</v>
      </c>
      <c r="C12" t="str">
        <f>Table26[[#This Row],[Column1]] &amp; "_" &amp; Table26[[#This Row],[Column2]]</f>
        <v>AHU_0202_HS_BTNAHU_PHASE</v>
      </c>
    </row>
    <row r="13" spans="1:3" x14ac:dyDescent="0.3">
      <c r="A13" t="s">
        <v>180</v>
      </c>
      <c r="B13" t="s">
        <v>230</v>
      </c>
      <c r="C13" t="str">
        <f>Table26[[#This Row],[Column1]] &amp; "_" &amp; Table26[[#This Row],[Column2]]</f>
        <v>AHU_0202_HS_BTAHU_MICRO</v>
      </c>
    </row>
    <row r="14" spans="1:3" x14ac:dyDescent="0.3">
      <c r="A14" t="s">
        <v>180</v>
      </c>
      <c r="B14" t="s">
        <v>231</v>
      </c>
      <c r="C14" t="str">
        <f>Table26[[#This Row],[Column1]] &amp; "_" &amp; Table26[[#This Row],[Column2]]</f>
        <v>AHU_0202_HS_BTAHU_ES</v>
      </c>
    </row>
    <row r="15" spans="1:3" x14ac:dyDescent="0.3">
      <c r="A15" t="s">
        <v>180</v>
      </c>
      <c r="B15" t="s">
        <v>232</v>
      </c>
      <c r="C15" t="str">
        <f>Table26[[#This Row],[Column1]] &amp; "_" &amp; Table26[[#This Row],[Column2]]</f>
        <v>AHU_0202_FC_OK</v>
      </c>
    </row>
    <row r="16" spans="1:3" hidden="1" x14ac:dyDescent="0.3">
      <c r="C16" t="str">
        <f>Table26[[#This Row],[Column1]] &amp; "_" &amp; Table26[[#This Row],[Column2]]</f>
        <v>_</v>
      </c>
    </row>
    <row r="17" spans="1:3" x14ac:dyDescent="0.3">
      <c r="A17" t="s">
        <v>181</v>
      </c>
      <c r="B17" t="s">
        <v>229</v>
      </c>
      <c r="C17" t="str">
        <f>Table26[[#This Row],[Column1]] &amp; "_" &amp; Table26[[#This Row],[Column2]]</f>
        <v>AHU_0203_HS_BTNAHU_PHASE</v>
      </c>
    </row>
    <row r="18" spans="1:3" x14ac:dyDescent="0.3">
      <c r="A18" t="s">
        <v>181</v>
      </c>
      <c r="B18" t="s">
        <v>230</v>
      </c>
      <c r="C18" t="str">
        <f>Table26[[#This Row],[Column1]] &amp; "_" &amp; Table26[[#This Row],[Column2]]</f>
        <v>AHU_0203_HS_BTAHU_MICRO</v>
      </c>
    </row>
    <row r="19" spans="1:3" x14ac:dyDescent="0.3">
      <c r="A19" t="s">
        <v>181</v>
      </c>
      <c r="B19" t="s">
        <v>231</v>
      </c>
      <c r="C19" t="str">
        <f>Table26[[#This Row],[Column1]] &amp; "_" &amp; Table26[[#This Row],[Column2]]</f>
        <v>AHU_0203_HS_BTAHU_ES</v>
      </c>
    </row>
    <row r="20" spans="1:3" x14ac:dyDescent="0.3">
      <c r="A20" t="s">
        <v>181</v>
      </c>
      <c r="B20" t="s">
        <v>232</v>
      </c>
      <c r="C20" t="str">
        <f>Table26[[#This Row],[Column1]] &amp; "_" &amp; Table26[[#This Row],[Column2]]</f>
        <v>AHU_0203_FC_OK</v>
      </c>
    </row>
    <row r="21" spans="1:3" hidden="1" x14ac:dyDescent="0.3">
      <c r="C21" t="str">
        <f>Table26[[#This Row],[Column1]] &amp; "_" &amp; Table26[[#This Row],[Column2]]</f>
        <v>_</v>
      </c>
    </row>
    <row r="22" spans="1:3" x14ac:dyDescent="0.3">
      <c r="A22" t="s">
        <v>182</v>
      </c>
      <c r="B22" t="s">
        <v>229</v>
      </c>
      <c r="C22" t="str">
        <f>Table26[[#This Row],[Column1]] &amp; "_" &amp; Table26[[#This Row],[Column2]]</f>
        <v>AHU_0204_HS_BTNAHU_PHASE</v>
      </c>
    </row>
    <row r="23" spans="1:3" x14ac:dyDescent="0.3">
      <c r="A23" t="s">
        <v>182</v>
      </c>
      <c r="B23" t="s">
        <v>230</v>
      </c>
      <c r="C23" t="str">
        <f>Table26[[#This Row],[Column1]] &amp; "_" &amp; Table26[[#This Row],[Column2]]</f>
        <v>AHU_0204_HS_BTAHU_MICRO</v>
      </c>
    </row>
    <row r="24" spans="1:3" x14ac:dyDescent="0.3">
      <c r="A24" t="s">
        <v>182</v>
      </c>
      <c r="B24" t="s">
        <v>231</v>
      </c>
      <c r="C24" t="str">
        <f>Table26[[#This Row],[Column1]] &amp; "_" &amp; Table26[[#This Row],[Column2]]</f>
        <v>AHU_0204_HS_BTAHU_ES</v>
      </c>
    </row>
    <row r="25" spans="1:3" x14ac:dyDescent="0.3">
      <c r="A25" t="s">
        <v>182</v>
      </c>
      <c r="B25" t="s">
        <v>232</v>
      </c>
      <c r="C25" t="str">
        <f>Table26[[#This Row],[Column1]] &amp; "_" &amp; Table26[[#This Row],[Column2]]</f>
        <v>AHU_0204_FC_OK</v>
      </c>
    </row>
    <row r="26" spans="1:3" hidden="1" x14ac:dyDescent="0.3">
      <c r="C26" t="str">
        <f>Table26[[#This Row],[Column1]] &amp; "_" &amp; Table26[[#This Row],[Column2]]</f>
        <v>_</v>
      </c>
    </row>
    <row r="27" spans="1:3" x14ac:dyDescent="0.3">
      <c r="A27" t="s">
        <v>183</v>
      </c>
      <c r="B27" t="s">
        <v>229</v>
      </c>
      <c r="C27" t="str">
        <f>Table26[[#This Row],[Column1]] &amp; "_" &amp; Table26[[#This Row],[Column2]]</f>
        <v>AHU_0205_HS_BTNAHU_PHASE</v>
      </c>
    </row>
    <row r="28" spans="1:3" x14ac:dyDescent="0.3">
      <c r="A28" t="s">
        <v>183</v>
      </c>
      <c r="B28" t="s">
        <v>230</v>
      </c>
      <c r="C28" t="str">
        <f>Table26[[#This Row],[Column1]] &amp; "_" &amp; Table26[[#This Row],[Column2]]</f>
        <v>AHU_0205_HS_BTAHU_MICRO</v>
      </c>
    </row>
    <row r="29" spans="1:3" x14ac:dyDescent="0.3">
      <c r="A29" t="s">
        <v>183</v>
      </c>
      <c r="B29" t="s">
        <v>231</v>
      </c>
      <c r="C29" t="str">
        <f>Table26[[#This Row],[Column1]] &amp; "_" &amp; Table26[[#This Row],[Column2]]</f>
        <v>AHU_0205_HS_BTAHU_ES</v>
      </c>
    </row>
    <row r="30" spans="1:3" x14ac:dyDescent="0.3">
      <c r="A30" t="s">
        <v>183</v>
      </c>
      <c r="B30" t="s">
        <v>232</v>
      </c>
      <c r="C30" t="str">
        <f>Table26[[#This Row],[Column1]] &amp; "_" &amp; Table26[[#This Row],[Column2]]</f>
        <v>AHU_0205_FC_OK</v>
      </c>
    </row>
    <row r="31" spans="1:3" hidden="1" x14ac:dyDescent="0.3">
      <c r="C31" t="str">
        <f>Table26[[#This Row],[Column1]] &amp; "-" &amp; Table26[[#This Row],[Column2]]</f>
        <v>-</v>
      </c>
    </row>
    <row r="32" spans="1:3" x14ac:dyDescent="0.3">
      <c r="A32" t="s">
        <v>184</v>
      </c>
      <c r="B32" t="s">
        <v>229</v>
      </c>
      <c r="C32" t="str">
        <f>Table26[[#This Row],[Column1]] &amp; "_" &amp; Table26[[#This Row],[Column2]]</f>
        <v>AHU_0206_HS_BTNAHU_PHASE</v>
      </c>
    </row>
    <row r="33" spans="1:3" x14ac:dyDescent="0.3">
      <c r="A33" t="s">
        <v>184</v>
      </c>
      <c r="B33" t="s">
        <v>230</v>
      </c>
      <c r="C33" t="str">
        <f>Table26[[#This Row],[Column1]] &amp; "_" &amp; Table26[[#This Row],[Column2]]</f>
        <v>AHU_0206_HS_BTAHU_MICRO</v>
      </c>
    </row>
    <row r="34" spans="1:3" x14ac:dyDescent="0.3">
      <c r="A34" t="s">
        <v>184</v>
      </c>
      <c r="B34" t="s">
        <v>231</v>
      </c>
      <c r="C34" t="str">
        <f>Table26[[#This Row],[Column1]] &amp; "_" &amp; Table26[[#This Row],[Column2]]</f>
        <v>AHU_0206_HS_BTAHU_ES</v>
      </c>
    </row>
    <row r="35" spans="1:3" x14ac:dyDescent="0.3">
      <c r="A35" t="s">
        <v>184</v>
      </c>
      <c r="B35" t="s">
        <v>232</v>
      </c>
      <c r="C35" t="str">
        <f>Table26[[#This Row],[Column1]] &amp; "_" &amp; Table26[[#This Row],[Column2]]</f>
        <v>AHU_0206_FC_OK</v>
      </c>
    </row>
    <row r="36" spans="1:3" hidden="1" x14ac:dyDescent="0.3">
      <c r="C36" t="str">
        <f>Table26[[#This Row],[Column1]] &amp; "-" &amp; Table26[[#This Row],[Column2]]</f>
        <v>-</v>
      </c>
    </row>
    <row r="37" spans="1:3" x14ac:dyDescent="0.3">
      <c r="A37" t="s">
        <v>185</v>
      </c>
      <c r="B37" t="s">
        <v>229</v>
      </c>
      <c r="C37" t="str">
        <f>Table26[[#This Row],[Column1]] &amp; "_" &amp; Table26[[#This Row],[Column2]]</f>
        <v>AHU_0207_HS_BTNAHU_PHASE</v>
      </c>
    </row>
    <row r="38" spans="1:3" x14ac:dyDescent="0.3">
      <c r="A38" t="s">
        <v>185</v>
      </c>
      <c r="B38" t="s">
        <v>230</v>
      </c>
      <c r="C38" t="str">
        <f>Table26[[#This Row],[Column1]] &amp; "_" &amp; Table26[[#This Row],[Column2]]</f>
        <v>AHU_0207_HS_BTAHU_MICRO</v>
      </c>
    </row>
    <row r="39" spans="1:3" x14ac:dyDescent="0.3">
      <c r="A39" t="s">
        <v>185</v>
      </c>
      <c r="B39" t="s">
        <v>231</v>
      </c>
      <c r="C39" t="str">
        <f>Table26[[#This Row],[Column1]] &amp; "_" &amp; Table26[[#This Row],[Column2]]</f>
        <v>AHU_0207_HS_BTAHU_ES</v>
      </c>
    </row>
    <row r="40" spans="1:3" x14ac:dyDescent="0.3">
      <c r="A40" t="s">
        <v>185</v>
      </c>
      <c r="B40" t="s">
        <v>232</v>
      </c>
      <c r="C40" t="str">
        <f>Table26[[#This Row],[Column1]] &amp; "_" &amp; Table26[[#This Row],[Column2]]</f>
        <v>AHU_0207_FC_OK</v>
      </c>
    </row>
    <row r="41" spans="1:3" hidden="1" x14ac:dyDescent="0.3">
      <c r="C41" t="str">
        <f>Table26[[#This Row],[Column1]] &amp; "-" &amp; Table26[[#This Row],[Column2]]</f>
        <v>-</v>
      </c>
    </row>
    <row r="42" spans="1:3" x14ac:dyDescent="0.3">
      <c r="A42" t="s">
        <v>186</v>
      </c>
      <c r="B42" t="s">
        <v>229</v>
      </c>
      <c r="C42" t="str">
        <f>Table26[[#This Row],[Column1]] &amp; "_" &amp; Table26[[#This Row],[Column2]]</f>
        <v>AHU_0208_HS_BTNAHU_PHASE</v>
      </c>
    </row>
    <row r="43" spans="1:3" x14ac:dyDescent="0.3">
      <c r="A43" t="s">
        <v>186</v>
      </c>
      <c r="B43" t="s">
        <v>230</v>
      </c>
      <c r="C43" t="str">
        <f>Table26[[#This Row],[Column1]] &amp; "_" &amp; Table26[[#This Row],[Column2]]</f>
        <v>AHU_0208_HS_BTAHU_MICRO</v>
      </c>
    </row>
    <row r="44" spans="1:3" x14ac:dyDescent="0.3">
      <c r="A44" t="s">
        <v>186</v>
      </c>
      <c r="B44" t="s">
        <v>231</v>
      </c>
      <c r="C44" t="str">
        <f>Table26[[#This Row],[Column1]] &amp; "_" &amp; Table26[[#This Row],[Column2]]</f>
        <v>AHU_0208_HS_BTAHU_ES</v>
      </c>
    </row>
    <row r="45" spans="1:3" x14ac:dyDescent="0.3">
      <c r="A45" t="s">
        <v>186</v>
      </c>
      <c r="B45" t="s">
        <v>232</v>
      </c>
      <c r="C45" t="str">
        <f>Table26[[#This Row],[Column1]] &amp; "_" &amp; Table26[[#This Row],[Column2]]</f>
        <v>AHU_0208_FC_OK</v>
      </c>
    </row>
    <row r="46" spans="1:3" hidden="1" x14ac:dyDescent="0.3">
      <c r="C46" t="str">
        <f>Table26[[#This Row],[Column1]] &amp; "-" &amp; Table26[[#This Row],[Column2]]</f>
        <v>-</v>
      </c>
    </row>
    <row r="47" spans="1:3" x14ac:dyDescent="0.3">
      <c r="A47" t="s">
        <v>187</v>
      </c>
      <c r="B47" t="s">
        <v>229</v>
      </c>
      <c r="C47" t="str">
        <f>Table26[[#This Row],[Column1]] &amp; "_" &amp; Table26[[#This Row],[Column2]]</f>
        <v>AHU_0209_HS_BTNAHU_PHASE</v>
      </c>
    </row>
    <row r="48" spans="1:3" x14ac:dyDescent="0.3">
      <c r="A48" t="s">
        <v>187</v>
      </c>
      <c r="B48" t="s">
        <v>230</v>
      </c>
      <c r="C48" t="str">
        <f>Table26[[#This Row],[Column1]] &amp; "_" &amp; Table26[[#This Row],[Column2]]</f>
        <v>AHU_0209_HS_BTAHU_MICRO</v>
      </c>
    </row>
    <row r="49" spans="1:3" x14ac:dyDescent="0.3">
      <c r="A49" t="s">
        <v>187</v>
      </c>
      <c r="B49" t="s">
        <v>231</v>
      </c>
      <c r="C49" t="str">
        <f>Table26[[#This Row],[Column1]] &amp; "_" &amp; Table26[[#This Row],[Column2]]</f>
        <v>AHU_0209_HS_BTAHU_ES</v>
      </c>
    </row>
    <row r="50" spans="1:3" x14ac:dyDescent="0.3">
      <c r="A50" t="s">
        <v>187</v>
      </c>
      <c r="B50" t="s">
        <v>232</v>
      </c>
      <c r="C50" t="str">
        <f>Table26[[#This Row],[Column1]] &amp; "_" &amp; Table26[[#This Row],[Column2]]</f>
        <v>AHU_0209_FC_OK</v>
      </c>
    </row>
    <row r="51" spans="1:3" hidden="1" x14ac:dyDescent="0.3">
      <c r="C51" t="str">
        <f>Table26[[#This Row],[Column1]] &amp; "-" &amp; Table26[[#This Row],[Column2]]</f>
        <v>-</v>
      </c>
    </row>
    <row r="52" spans="1:3" x14ac:dyDescent="0.3">
      <c r="A52" t="s">
        <v>207</v>
      </c>
      <c r="B52" t="s">
        <v>229</v>
      </c>
      <c r="C52" t="str">
        <f>Table26[[#This Row],[Column1]] &amp; "_" &amp; Table26[[#This Row],[Column2]]</f>
        <v>BU_HW_HS_BTNAHU_PHASE</v>
      </c>
    </row>
    <row r="53" spans="1:3" x14ac:dyDescent="0.3">
      <c r="A53" t="s">
        <v>207</v>
      </c>
      <c r="B53" t="s">
        <v>230</v>
      </c>
      <c r="C53" t="str">
        <f>Table26[[#This Row],[Column1]] &amp; "_" &amp; Table26[[#This Row],[Column2]]</f>
        <v>BU_HW_HS_BTAHU_MICRO</v>
      </c>
    </row>
    <row r="54" spans="1:3" x14ac:dyDescent="0.3">
      <c r="A54" t="s">
        <v>207</v>
      </c>
      <c r="B54" t="s">
        <v>231</v>
      </c>
      <c r="C54" t="str">
        <f>Table26[[#This Row],[Column1]] &amp; "_" &amp; Table26[[#This Row],[Column2]]</f>
        <v>BU_HW_HS_BTAHU_ES</v>
      </c>
    </row>
    <row r="55" spans="1:3" x14ac:dyDescent="0.3">
      <c r="A55" t="s">
        <v>207</v>
      </c>
      <c r="B55" t="s">
        <v>232</v>
      </c>
      <c r="C55" t="str">
        <f>Table26[[#This Row],[Column1]] &amp; "_" &amp; Table26[[#This Row],[Column2]]</f>
        <v>BU_HW_FC_OK</v>
      </c>
    </row>
    <row r="56" spans="1:3" hidden="1" x14ac:dyDescent="0.3">
      <c r="C56" t="str">
        <f>Table26[[#This Row],[Column1]] &amp; "-" &amp; Table26[[#This Row],[Column2]]</f>
        <v>-</v>
      </c>
    </row>
    <row r="57" spans="1:3" x14ac:dyDescent="0.3">
      <c r="A57" t="s">
        <v>208</v>
      </c>
      <c r="B57" t="s">
        <v>229</v>
      </c>
      <c r="C57" t="str">
        <f>Table26[[#This Row],[Column1]] &amp; "_" &amp; Table26[[#This Row],[Column2]]</f>
        <v>BU_CW_HS_BTNAHU_PHASE</v>
      </c>
    </row>
    <row r="58" spans="1:3" x14ac:dyDescent="0.3">
      <c r="A58" t="s">
        <v>208</v>
      </c>
      <c r="B58" t="s">
        <v>230</v>
      </c>
      <c r="C58" t="str">
        <f>Table26[[#This Row],[Column1]] &amp; "_" &amp; Table26[[#This Row],[Column2]]</f>
        <v>BU_CW_HS_BTAHU_MICRO</v>
      </c>
    </row>
    <row r="59" spans="1:3" x14ac:dyDescent="0.3">
      <c r="A59" t="s">
        <v>208</v>
      </c>
      <c r="B59" t="s">
        <v>231</v>
      </c>
      <c r="C59" t="str">
        <f>Table26[[#This Row],[Column1]] &amp; "_" &amp; Table26[[#This Row],[Column2]]</f>
        <v>BU_CW_HS_BTAHU_ES</v>
      </c>
    </row>
    <row r="60" spans="1:3" x14ac:dyDescent="0.3">
      <c r="A60" t="s">
        <v>208</v>
      </c>
      <c r="B60" t="s">
        <v>232</v>
      </c>
      <c r="C60" t="str">
        <f>Table26[[#This Row],[Column1]] &amp; "_" &amp; Table26[[#This Row],[Column2]]</f>
        <v>BU_CW_FC_OK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9F2B3-E792-4817-8381-444ED18520F8}">
  <sheetPr codeName="Sheet25"/>
  <dimension ref="A1:F125"/>
  <sheetViews>
    <sheetView workbookViewId="0">
      <selection activeCell="B2" sqref="B2:B101"/>
    </sheetView>
  </sheetViews>
  <sheetFormatPr defaultRowHeight="16.5" x14ac:dyDescent="0.3"/>
  <cols>
    <col min="1" max="1" width="27.75" bestFit="1" customWidth="1"/>
    <col min="2" max="2" width="5.125" bestFit="1" customWidth="1"/>
    <col min="3" max="3" width="16.375" bestFit="1" customWidth="1"/>
    <col min="4" max="4" width="6.375" bestFit="1" customWidth="1"/>
    <col min="5" max="5" width="7.375" bestFit="1" customWidth="1"/>
    <col min="6" max="6" width="24.625" customWidth="1"/>
    <col min="7" max="7" width="27.75" bestFit="1" customWidth="1"/>
    <col min="8" max="8" width="28.5" bestFit="1" customWidth="1"/>
    <col min="9" max="9" width="7.375" bestFit="1" customWidth="1"/>
    <col min="10" max="10" width="5.125" bestFit="1" customWidth="1"/>
    <col min="11" max="11" width="23.25" bestFit="1" customWidth="1"/>
    <col min="12" max="13" width="81" bestFit="1" customWidth="1"/>
  </cols>
  <sheetData>
    <row r="1" spans="1:6" x14ac:dyDescent="0.3">
      <c r="A1" t="s">
        <v>5</v>
      </c>
      <c r="B1" t="s">
        <v>4</v>
      </c>
      <c r="C1" t="s">
        <v>31</v>
      </c>
      <c r="D1" t="s">
        <v>34</v>
      </c>
      <c r="E1" t="s">
        <v>3</v>
      </c>
      <c r="F1" t="s">
        <v>195</v>
      </c>
    </row>
    <row r="2" spans="1:6" x14ac:dyDescent="0.3">
      <c r="A2" t="s">
        <v>18</v>
      </c>
      <c r="B2">
        <v>1</v>
      </c>
      <c r="C2" t="s">
        <v>1585</v>
      </c>
      <c r="D2" t="s">
        <v>1335</v>
      </c>
      <c r="E2" t="s">
        <v>209</v>
      </c>
      <c r="F2" t="s">
        <v>228</v>
      </c>
    </row>
    <row r="3" spans="1:6" x14ac:dyDescent="0.3">
      <c r="A3" t="s">
        <v>19</v>
      </c>
      <c r="B3">
        <v>3</v>
      </c>
      <c r="C3" t="s">
        <v>1585</v>
      </c>
      <c r="D3" t="s">
        <v>1335</v>
      </c>
      <c r="E3" t="s">
        <v>210</v>
      </c>
      <c r="F3" t="s">
        <v>219</v>
      </c>
    </row>
    <row r="4" spans="1:6" x14ac:dyDescent="0.3">
      <c r="A4" t="s">
        <v>20</v>
      </c>
      <c r="B4">
        <v>4</v>
      </c>
      <c r="C4" t="s">
        <v>1585</v>
      </c>
      <c r="D4" t="s">
        <v>1335</v>
      </c>
      <c r="E4" t="s">
        <v>211</v>
      </c>
      <c r="F4" t="s">
        <v>220</v>
      </c>
    </row>
    <row r="5" spans="1:6" x14ac:dyDescent="0.3">
      <c r="A5" t="s">
        <v>21</v>
      </c>
      <c r="B5">
        <v>7</v>
      </c>
      <c r="C5" t="s">
        <v>1585</v>
      </c>
      <c r="D5" t="s">
        <v>1335</v>
      </c>
      <c r="E5" t="s">
        <v>209</v>
      </c>
      <c r="F5" t="s">
        <v>228</v>
      </c>
    </row>
    <row r="6" spans="1:6" x14ac:dyDescent="0.3">
      <c r="A6" t="s">
        <v>22</v>
      </c>
      <c r="B6">
        <v>9</v>
      </c>
      <c r="C6" t="s">
        <v>1585</v>
      </c>
      <c r="D6" t="s">
        <v>1335</v>
      </c>
      <c r="E6" t="s">
        <v>210</v>
      </c>
      <c r="F6" t="s">
        <v>219</v>
      </c>
    </row>
    <row r="7" spans="1:6" x14ac:dyDescent="0.3">
      <c r="A7" t="s">
        <v>23</v>
      </c>
      <c r="B7">
        <v>10</v>
      </c>
      <c r="C7" t="s">
        <v>1585</v>
      </c>
      <c r="D7" t="s">
        <v>1335</v>
      </c>
      <c r="E7" t="s">
        <v>211</v>
      </c>
      <c r="F7" t="s">
        <v>220</v>
      </c>
    </row>
    <row r="8" spans="1:6" x14ac:dyDescent="0.3">
      <c r="A8" t="s">
        <v>46</v>
      </c>
      <c r="B8">
        <v>12</v>
      </c>
      <c r="C8" t="s">
        <v>1585</v>
      </c>
      <c r="D8" t="s">
        <v>1335</v>
      </c>
      <c r="E8" t="s">
        <v>212</v>
      </c>
      <c r="F8" t="s">
        <v>221</v>
      </c>
    </row>
    <row r="9" spans="1:6" x14ac:dyDescent="0.3">
      <c r="A9" t="s">
        <v>47</v>
      </c>
      <c r="B9">
        <v>13</v>
      </c>
      <c r="C9" t="s">
        <v>1585</v>
      </c>
      <c r="D9" t="s">
        <v>1335</v>
      </c>
      <c r="E9" t="s">
        <v>212</v>
      </c>
      <c r="F9" t="s">
        <v>221</v>
      </c>
    </row>
    <row r="10" spans="1:6" x14ac:dyDescent="0.3">
      <c r="A10" t="s">
        <v>48</v>
      </c>
      <c r="B10">
        <v>14</v>
      </c>
      <c r="C10" t="s">
        <v>1585</v>
      </c>
      <c r="D10" t="s">
        <v>1335</v>
      </c>
      <c r="E10" t="s">
        <v>212</v>
      </c>
      <c r="F10" t="s">
        <v>221</v>
      </c>
    </row>
    <row r="11" spans="1:6" x14ac:dyDescent="0.3">
      <c r="A11" t="s">
        <v>49</v>
      </c>
      <c r="B11">
        <v>15</v>
      </c>
      <c r="C11" t="s">
        <v>1585</v>
      </c>
      <c r="D11" t="s">
        <v>1335</v>
      </c>
      <c r="E11" t="s">
        <v>213</v>
      </c>
      <c r="F11" t="s">
        <v>222</v>
      </c>
    </row>
    <row r="12" spans="1:6" x14ac:dyDescent="0.3">
      <c r="A12" t="s">
        <v>50</v>
      </c>
      <c r="B12">
        <v>16</v>
      </c>
      <c r="C12" t="s">
        <v>1585</v>
      </c>
      <c r="D12" t="s">
        <v>1335</v>
      </c>
      <c r="E12" t="s">
        <v>214</v>
      </c>
      <c r="F12" t="s">
        <v>223</v>
      </c>
    </row>
    <row r="13" spans="1:6" x14ac:dyDescent="0.3">
      <c r="A13" t="s">
        <v>51</v>
      </c>
      <c r="B13">
        <v>17</v>
      </c>
      <c r="C13" t="s">
        <v>1585</v>
      </c>
      <c r="D13" t="s">
        <v>1335</v>
      </c>
      <c r="E13" t="s">
        <v>215</v>
      </c>
      <c r="F13" t="s">
        <v>224</v>
      </c>
    </row>
    <row r="14" spans="1:6" x14ac:dyDescent="0.3">
      <c r="A14" t="s">
        <v>202</v>
      </c>
      <c r="B14">
        <v>18</v>
      </c>
      <c r="C14" t="s">
        <v>1585</v>
      </c>
      <c r="D14" t="s">
        <v>1335</v>
      </c>
      <c r="E14" t="s">
        <v>212</v>
      </c>
      <c r="F14" t="s">
        <v>221</v>
      </c>
    </row>
    <row r="15" spans="1:6" x14ac:dyDescent="0.3">
      <c r="A15" t="s">
        <v>52</v>
      </c>
      <c r="B15">
        <v>19</v>
      </c>
      <c r="C15" t="s">
        <v>1585</v>
      </c>
      <c r="D15" t="s">
        <v>1335</v>
      </c>
      <c r="E15" t="s">
        <v>209</v>
      </c>
      <c r="F15" t="s">
        <v>228</v>
      </c>
    </row>
    <row r="16" spans="1:6" x14ac:dyDescent="0.3">
      <c r="A16" t="s">
        <v>53</v>
      </c>
      <c r="B16">
        <v>21</v>
      </c>
      <c r="C16" t="s">
        <v>1585</v>
      </c>
      <c r="D16" t="s">
        <v>1335</v>
      </c>
      <c r="E16" t="s">
        <v>210</v>
      </c>
      <c r="F16" t="s">
        <v>219</v>
      </c>
    </row>
    <row r="17" spans="1:6" x14ac:dyDescent="0.3">
      <c r="A17" t="s">
        <v>24</v>
      </c>
      <c r="B17">
        <v>22</v>
      </c>
      <c r="C17" t="s">
        <v>1585</v>
      </c>
      <c r="D17" t="s">
        <v>1335</v>
      </c>
      <c r="E17" t="s">
        <v>211</v>
      </c>
      <c r="F17" t="s">
        <v>220</v>
      </c>
    </row>
    <row r="18" spans="1:6" x14ac:dyDescent="0.3">
      <c r="A18" t="s">
        <v>54</v>
      </c>
      <c r="B18">
        <v>23</v>
      </c>
      <c r="C18" t="s">
        <v>1585</v>
      </c>
      <c r="D18" t="s">
        <v>1335</v>
      </c>
      <c r="E18" t="s">
        <v>212</v>
      </c>
      <c r="F18" t="s">
        <v>221</v>
      </c>
    </row>
    <row r="19" spans="1:6" x14ac:dyDescent="0.3">
      <c r="A19" t="s">
        <v>55</v>
      </c>
      <c r="B19">
        <v>24</v>
      </c>
      <c r="C19" t="s">
        <v>1585</v>
      </c>
      <c r="D19" t="s">
        <v>1335</v>
      </c>
      <c r="E19" t="s">
        <v>212</v>
      </c>
      <c r="F19" t="s">
        <v>221</v>
      </c>
    </row>
    <row r="20" spans="1:6" x14ac:dyDescent="0.3">
      <c r="A20" t="s">
        <v>56</v>
      </c>
      <c r="B20">
        <v>25</v>
      </c>
      <c r="C20" t="s">
        <v>1585</v>
      </c>
      <c r="D20" t="s">
        <v>1335</v>
      </c>
      <c r="E20" t="s">
        <v>212</v>
      </c>
      <c r="F20" t="s">
        <v>221</v>
      </c>
    </row>
    <row r="21" spans="1:6" x14ac:dyDescent="0.3">
      <c r="A21" t="s">
        <v>25</v>
      </c>
      <c r="B21">
        <v>26</v>
      </c>
      <c r="C21" t="s">
        <v>1585</v>
      </c>
      <c r="D21" t="s">
        <v>1335</v>
      </c>
      <c r="E21" t="s">
        <v>216</v>
      </c>
      <c r="F21" t="s">
        <v>225</v>
      </c>
    </row>
    <row r="22" spans="1:6" x14ac:dyDescent="0.3">
      <c r="A22" t="s">
        <v>26</v>
      </c>
      <c r="B22">
        <v>27</v>
      </c>
      <c r="C22" t="s">
        <v>1585</v>
      </c>
      <c r="D22" t="s">
        <v>1335</v>
      </c>
      <c r="E22" t="s">
        <v>217</v>
      </c>
      <c r="F22" t="s">
        <v>226</v>
      </c>
    </row>
    <row r="23" spans="1:6" x14ac:dyDescent="0.3">
      <c r="A23" t="s">
        <v>57</v>
      </c>
      <c r="B23">
        <v>28</v>
      </c>
      <c r="C23" t="s">
        <v>1585</v>
      </c>
      <c r="D23" t="s">
        <v>1335</v>
      </c>
      <c r="E23" t="s">
        <v>213</v>
      </c>
      <c r="F23" t="s">
        <v>222</v>
      </c>
    </row>
    <row r="24" spans="1:6" x14ac:dyDescent="0.3">
      <c r="A24" t="s">
        <v>157</v>
      </c>
      <c r="B24">
        <v>29</v>
      </c>
      <c r="C24" t="s">
        <v>1585</v>
      </c>
      <c r="D24" t="s">
        <v>1335</v>
      </c>
      <c r="E24" t="s">
        <v>218</v>
      </c>
      <c r="F24" t="s">
        <v>227</v>
      </c>
    </row>
    <row r="25" spans="1:6" x14ac:dyDescent="0.3">
      <c r="A25" t="s">
        <v>58</v>
      </c>
      <c r="B25">
        <v>30</v>
      </c>
      <c r="C25" t="s">
        <v>1585</v>
      </c>
      <c r="D25" t="s">
        <v>1335</v>
      </c>
      <c r="E25" t="s">
        <v>212</v>
      </c>
      <c r="F25" t="s">
        <v>221</v>
      </c>
    </row>
    <row r="26" spans="1:6" x14ac:dyDescent="0.3">
      <c r="A26" t="s">
        <v>59</v>
      </c>
      <c r="B26">
        <v>31</v>
      </c>
      <c r="C26" t="s">
        <v>1585</v>
      </c>
      <c r="D26" t="s">
        <v>1335</v>
      </c>
      <c r="E26" t="s">
        <v>212</v>
      </c>
      <c r="F26" t="s">
        <v>221</v>
      </c>
    </row>
    <row r="27" spans="1:6" x14ac:dyDescent="0.3">
      <c r="A27" t="s">
        <v>60</v>
      </c>
      <c r="B27">
        <v>32</v>
      </c>
      <c r="C27" t="s">
        <v>1585</v>
      </c>
      <c r="D27" t="s">
        <v>1335</v>
      </c>
      <c r="E27" t="s">
        <v>212</v>
      </c>
      <c r="F27" t="s">
        <v>221</v>
      </c>
    </row>
    <row r="28" spans="1:6" x14ac:dyDescent="0.3">
      <c r="A28" t="s">
        <v>61</v>
      </c>
      <c r="B28">
        <v>33</v>
      </c>
      <c r="C28" t="s">
        <v>1585</v>
      </c>
      <c r="D28" t="s">
        <v>1335</v>
      </c>
      <c r="E28" t="s">
        <v>212</v>
      </c>
      <c r="F28" t="s">
        <v>221</v>
      </c>
    </row>
    <row r="29" spans="1:6" x14ac:dyDescent="0.3">
      <c r="A29" t="s">
        <v>62</v>
      </c>
      <c r="B29">
        <v>34</v>
      </c>
      <c r="C29" t="s">
        <v>1585</v>
      </c>
      <c r="D29" t="s">
        <v>1335</v>
      </c>
      <c r="E29" t="s">
        <v>216</v>
      </c>
      <c r="F29" t="s">
        <v>225</v>
      </c>
    </row>
    <row r="30" spans="1:6" x14ac:dyDescent="0.3">
      <c r="A30" t="s">
        <v>63</v>
      </c>
      <c r="B30">
        <v>35</v>
      </c>
      <c r="C30" t="s">
        <v>1585</v>
      </c>
      <c r="D30" t="s">
        <v>1335</v>
      </c>
      <c r="E30" t="s">
        <v>217</v>
      </c>
      <c r="F30" t="s">
        <v>226</v>
      </c>
    </row>
    <row r="31" spans="1:6" x14ac:dyDescent="0.3">
      <c r="A31" t="s">
        <v>158</v>
      </c>
      <c r="B31">
        <v>36</v>
      </c>
      <c r="C31" t="s">
        <v>1585</v>
      </c>
      <c r="D31" t="s">
        <v>1335</v>
      </c>
      <c r="E31" t="s">
        <v>218</v>
      </c>
      <c r="F31" t="s">
        <v>227</v>
      </c>
    </row>
    <row r="32" spans="1:6" x14ac:dyDescent="0.3">
      <c r="A32" t="s">
        <v>64</v>
      </c>
      <c r="B32">
        <v>39</v>
      </c>
      <c r="C32" t="s">
        <v>1585</v>
      </c>
      <c r="D32" t="s">
        <v>1335</v>
      </c>
      <c r="E32" t="s">
        <v>209</v>
      </c>
      <c r="F32" t="s">
        <v>228</v>
      </c>
    </row>
    <row r="33" spans="1:6" x14ac:dyDescent="0.3">
      <c r="A33" t="s">
        <v>65</v>
      </c>
      <c r="B33">
        <v>41</v>
      </c>
      <c r="C33" t="s">
        <v>1585</v>
      </c>
      <c r="D33" t="s">
        <v>1335</v>
      </c>
      <c r="E33" t="s">
        <v>210</v>
      </c>
      <c r="F33" t="s">
        <v>219</v>
      </c>
    </row>
    <row r="34" spans="1:6" x14ac:dyDescent="0.3">
      <c r="A34" t="s">
        <v>27</v>
      </c>
      <c r="B34">
        <v>42</v>
      </c>
      <c r="C34" t="s">
        <v>1585</v>
      </c>
      <c r="D34" t="s">
        <v>1335</v>
      </c>
      <c r="E34" t="s">
        <v>211</v>
      </c>
      <c r="F34" t="s">
        <v>220</v>
      </c>
    </row>
    <row r="35" spans="1:6" x14ac:dyDescent="0.3">
      <c r="A35" t="s">
        <v>66</v>
      </c>
      <c r="B35">
        <v>43</v>
      </c>
      <c r="C35" t="s">
        <v>1585</v>
      </c>
      <c r="D35" t="s">
        <v>1335</v>
      </c>
      <c r="E35" t="s">
        <v>212</v>
      </c>
      <c r="F35" t="s">
        <v>221</v>
      </c>
    </row>
    <row r="36" spans="1:6" x14ac:dyDescent="0.3">
      <c r="A36" t="s">
        <v>67</v>
      </c>
      <c r="B36">
        <v>44</v>
      </c>
      <c r="C36" t="s">
        <v>1585</v>
      </c>
      <c r="D36" t="s">
        <v>1335</v>
      </c>
      <c r="E36" t="s">
        <v>212</v>
      </c>
      <c r="F36" t="s">
        <v>221</v>
      </c>
    </row>
    <row r="37" spans="1:6" x14ac:dyDescent="0.3">
      <c r="A37" t="s">
        <v>68</v>
      </c>
      <c r="B37">
        <v>45</v>
      </c>
      <c r="C37" t="s">
        <v>1585</v>
      </c>
      <c r="D37" t="s">
        <v>1335</v>
      </c>
      <c r="E37" t="s">
        <v>212</v>
      </c>
      <c r="F37" t="s">
        <v>221</v>
      </c>
    </row>
    <row r="38" spans="1:6" x14ac:dyDescent="0.3">
      <c r="A38" t="s">
        <v>69</v>
      </c>
      <c r="B38">
        <v>46</v>
      </c>
      <c r="C38" t="s">
        <v>1585</v>
      </c>
      <c r="D38" t="s">
        <v>1335</v>
      </c>
      <c r="E38" t="s">
        <v>212</v>
      </c>
      <c r="F38" t="s">
        <v>221</v>
      </c>
    </row>
    <row r="39" spans="1:6" x14ac:dyDescent="0.3">
      <c r="A39" t="s">
        <v>70</v>
      </c>
      <c r="B39">
        <v>47</v>
      </c>
      <c r="C39" t="s">
        <v>1585</v>
      </c>
      <c r="D39" t="s">
        <v>1335</v>
      </c>
      <c r="E39" t="s">
        <v>216</v>
      </c>
      <c r="F39" t="s">
        <v>225</v>
      </c>
    </row>
    <row r="40" spans="1:6" x14ac:dyDescent="0.3">
      <c r="A40" t="s">
        <v>71</v>
      </c>
      <c r="B40">
        <v>48</v>
      </c>
      <c r="C40" t="s">
        <v>1585</v>
      </c>
      <c r="D40" t="s">
        <v>1335</v>
      </c>
      <c r="E40" t="s">
        <v>217</v>
      </c>
      <c r="F40" t="s">
        <v>226</v>
      </c>
    </row>
    <row r="41" spans="1:6" x14ac:dyDescent="0.3">
      <c r="A41" t="s">
        <v>72</v>
      </c>
      <c r="B41">
        <v>49</v>
      </c>
      <c r="C41" t="s">
        <v>1585</v>
      </c>
      <c r="D41" t="s">
        <v>1335</v>
      </c>
      <c r="E41" t="s">
        <v>213</v>
      </c>
      <c r="F41" t="s">
        <v>222</v>
      </c>
    </row>
    <row r="42" spans="1:6" x14ac:dyDescent="0.3">
      <c r="A42" t="s">
        <v>73</v>
      </c>
      <c r="B42">
        <v>50</v>
      </c>
      <c r="C42" t="s">
        <v>1585</v>
      </c>
      <c r="D42" t="s">
        <v>1335</v>
      </c>
      <c r="E42" t="s">
        <v>218</v>
      </c>
      <c r="F42" t="s">
        <v>227</v>
      </c>
    </row>
    <row r="43" spans="1:6" x14ac:dyDescent="0.3">
      <c r="A43" t="s">
        <v>74</v>
      </c>
      <c r="B43">
        <v>51</v>
      </c>
      <c r="C43" t="s">
        <v>1585</v>
      </c>
      <c r="D43" t="s">
        <v>1335</v>
      </c>
      <c r="E43" t="s">
        <v>218</v>
      </c>
      <c r="F43" t="s">
        <v>227</v>
      </c>
    </row>
    <row r="44" spans="1:6" x14ac:dyDescent="0.3">
      <c r="A44" t="s">
        <v>75</v>
      </c>
      <c r="B44">
        <v>52</v>
      </c>
      <c r="C44" t="s">
        <v>1585</v>
      </c>
      <c r="D44" t="s">
        <v>1335</v>
      </c>
      <c r="E44" t="s">
        <v>212</v>
      </c>
      <c r="F44" t="s">
        <v>221</v>
      </c>
    </row>
    <row r="45" spans="1:6" x14ac:dyDescent="0.3">
      <c r="A45" t="s">
        <v>76</v>
      </c>
      <c r="B45">
        <v>53</v>
      </c>
      <c r="C45" t="s">
        <v>1585</v>
      </c>
      <c r="D45" t="s">
        <v>1335</v>
      </c>
      <c r="E45" t="s">
        <v>212</v>
      </c>
      <c r="F45" t="s">
        <v>221</v>
      </c>
    </row>
    <row r="46" spans="1:6" x14ac:dyDescent="0.3">
      <c r="A46" t="s">
        <v>77</v>
      </c>
      <c r="B46">
        <v>54</v>
      </c>
      <c r="C46" t="s">
        <v>1585</v>
      </c>
      <c r="D46" t="s">
        <v>1335</v>
      </c>
      <c r="E46" t="s">
        <v>212</v>
      </c>
      <c r="F46" t="s">
        <v>221</v>
      </c>
    </row>
    <row r="47" spans="1:6" x14ac:dyDescent="0.3">
      <c r="A47" t="s">
        <v>78</v>
      </c>
      <c r="B47">
        <v>55</v>
      </c>
      <c r="C47" t="s">
        <v>1585</v>
      </c>
      <c r="D47" t="s">
        <v>1335</v>
      </c>
      <c r="E47" t="s">
        <v>212</v>
      </c>
      <c r="F47" t="s">
        <v>221</v>
      </c>
    </row>
    <row r="48" spans="1:6" x14ac:dyDescent="0.3">
      <c r="A48" t="s">
        <v>79</v>
      </c>
      <c r="B48">
        <v>56</v>
      </c>
      <c r="C48" t="s">
        <v>1585</v>
      </c>
      <c r="D48" t="s">
        <v>1335</v>
      </c>
      <c r="E48" t="s">
        <v>216</v>
      </c>
      <c r="F48" t="s">
        <v>225</v>
      </c>
    </row>
    <row r="49" spans="1:6" x14ac:dyDescent="0.3">
      <c r="A49" t="s">
        <v>80</v>
      </c>
      <c r="B49">
        <v>57</v>
      </c>
      <c r="C49" t="s">
        <v>1585</v>
      </c>
      <c r="D49" t="s">
        <v>1335</v>
      </c>
      <c r="E49" t="s">
        <v>217</v>
      </c>
      <c r="F49" t="s">
        <v>226</v>
      </c>
    </row>
    <row r="50" spans="1:6" x14ac:dyDescent="0.3">
      <c r="A50" t="s">
        <v>81</v>
      </c>
      <c r="B50">
        <v>58</v>
      </c>
      <c r="C50" t="s">
        <v>1585</v>
      </c>
      <c r="D50" t="s">
        <v>1335</v>
      </c>
      <c r="E50" t="s">
        <v>218</v>
      </c>
      <c r="F50" t="s">
        <v>227</v>
      </c>
    </row>
    <row r="51" spans="1:6" x14ac:dyDescent="0.3">
      <c r="A51" t="s">
        <v>82</v>
      </c>
      <c r="B51">
        <v>60</v>
      </c>
      <c r="C51" t="s">
        <v>1585</v>
      </c>
      <c r="D51" t="s">
        <v>1335</v>
      </c>
      <c r="E51" t="s">
        <v>209</v>
      </c>
      <c r="F51" t="s">
        <v>228</v>
      </c>
    </row>
    <row r="52" spans="1:6" x14ac:dyDescent="0.3">
      <c r="A52" t="s">
        <v>83</v>
      </c>
      <c r="B52">
        <v>62</v>
      </c>
      <c r="C52" t="s">
        <v>1585</v>
      </c>
      <c r="D52" t="s">
        <v>1335</v>
      </c>
      <c r="E52" t="s">
        <v>210</v>
      </c>
      <c r="F52" t="s">
        <v>219</v>
      </c>
    </row>
    <row r="53" spans="1:6" x14ac:dyDescent="0.3">
      <c r="A53" t="s">
        <v>28</v>
      </c>
      <c r="B53">
        <v>63</v>
      </c>
      <c r="C53" t="s">
        <v>1585</v>
      </c>
      <c r="D53" t="s">
        <v>1335</v>
      </c>
      <c r="E53" t="s">
        <v>211</v>
      </c>
      <c r="F53" t="s">
        <v>220</v>
      </c>
    </row>
    <row r="54" spans="1:6" x14ac:dyDescent="0.3">
      <c r="A54" t="s">
        <v>84</v>
      </c>
      <c r="B54">
        <v>64</v>
      </c>
      <c r="C54" t="s">
        <v>1585</v>
      </c>
      <c r="D54" t="s">
        <v>1335</v>
      </c>
      <c r="E54" t="s">
        <v>212</v>
      </c>
      <c r="F54" t="s">
        <v>221</v>
      </c>
    </row>
    <row r="55" spans="1:6" x14ac:dyDescent="0.3">
      <c r="A55" t="s">
        <v>85</v>
      </c>
      <c r="B55">
        <v>65</v>
      </c>
      <c r="C55" t="s">
        <v>1585</v>
      </c>
      <c r="D55" t="s">
        <v>1335</v>
      </c>
      <c r="E55" t="s">
        <v>212</v>
      </c>
      <c r="F55" t="s">
        <v>221</v>
      </c>
    </row>
    <row r="56" spans="1:6" x14ac:dyDescent="0.3">
      <c r="A56" t="s">
        <v>86</v>
      </c>
      <c r="B56">
        <v>66</v>
      </c>
      <c r="C56" t="s">
        <v>1585</v>
      </c>
      <c r="D56" t="s">
        <v>1335</v>
      </c>
      <c r="E56" t="s">
        <v>212</v>
      </c>
      <c r="F56" t="s">
        <v>221</v>
      </c>
    </row>
    <row r="57" spans="1:6" x14ac:dyDescent="0.3">
      <c r="A57" t="s">
        <v>87</v>
      </c>
      <c r="B57">
        <v>67</v>
      </c>
      <c r="C57" t="s">
        <v>1585</v>
      </c>
      <c r="D57" t="s">
        <v>1335</v>
      </c>
      <c r="E57" t="s">
        <v>212</v>
      </c>
      <c r="F57" t="s">
        <v>221</v>
      </c>
    </row>
    <row r="58" spans="1:6" x14ac:dyDescent="0.3">
      <c r="A58" t="s">
        <v>88</v>
      </c>
      <c r="B58">
        <v>68</v>
      </c>
      <c r="C58" t="s">
        <v>1585</v>
      </c>
      <c r="D58" t="s">
        <v>1335</v>
      </c>
      <c r="E58" t="s">
        <v>216</v>
      </c>
      <c r="F58" t="s">
        <v>225</v>
      </c>
    </row>
    <row r="59" spans="1:6" x14ac:dyDescent="0.3">
      <c r="A59" t="s">
        <v>89</v>
      </c>
      <c r="B59">
        <v>69</v>
      </c>
      <c r="C59" t="s">
        <v>1585</v>
      </c>
      <c r="D59" t="s">
        <v>1335</v>
      </c>
      <c r="E59" t="s">
        <v>217</v>
      </c>
      <c r="F59" t="s">
        <v>226</v>
      </c>
    </row>
    <row r="60" spans="1:6" x14ac:dyDescent="0.3">
      <c r="A60" t="s">
        <v>90</v>
      </c>
      <c r="B60">
        <v>70</v>
      </c>
      <c r="C60" t="s">
        <v>1585</v>
      </c>
      <c r="D60" t="s">
        <v>1335</v>
      </c>
      <c r="E60" t="s">
        <v>213</v>
      </c>
      <c r="F60" t="s">
        <v>222</v>
      </c>
    </row>
    <row r="61" spans="1:6" x14ac:dyDescent="0.3">
      <c r="A61" t="s">
        <v>91</v>
      </c>
      <c r="B61">
        <v>71</v>
      </c>
      <c r="C61" t="s">
        <v>1585</v>
      </c>
      <c r="D61" t="s">
        <v>1335</v>
      </c>
      <c r="E61" t="s">
        <v>218</v>
      </c>
      <c r="F61" t="s">
        <v>227</v>
      </c>
    </row>
    <row r="62" spans="1:6" x14ac:dyDescent="0.3">
      <c r="A62" t="s">
        <v>92</v>
      </c>
      <c r="B62">
        <v>72</v>
      </c>
      <c r="C62" t="s">
        <v>1585</v>
      </c>
      <c r="D62" t="s">
        <v>1335</v>
      </c>
      <c r="E62" t="s">
        <v>212</v>
      </c>
      <c r="F62" t="s">
        <v>221</v>
      </c>
    </row>
    <row r="63" spans="1:6" x14ac:dyDescent="0.3">
      <c r="A63" t="s">
        <v>93</v>
      </c>
      <c r="B63">
        <v>73</v>
      </c>
      <c r="C63" t="s">
        <v>1585</v>
      </c>
      <c r="D63" t="s">
        <v>1335</v>
      </c>
      <c r="E63" t="s">
        <v>212</v>
      </c>
      <c r="F63" t="s">
        <v>221</v>
      </c>
    </row>
    <row r="64" spans="1:6" x14ac:dyDescent="0.3">
      <c r="A64" t="s">
        <v>94</v>
      </c>
      <c r="B64">
        <v>74</v>
      </c>
      <c r="C64" t="s">
        <v>1585</v>
      </c>
      <c r="D64" t="s">
        <v>1335</v>
      </c>
      <c r="E64" t="s">
        <v>212</v>
      </c>
      <c r="F64" t="s">
        <v>221</v>
      </c>
    </row>
    <row r="65" spans="1:6" x14ac:dyDescent="0.3">
      <c r="A65" t="s">
        <v>95</v>
      </c>
      <c r="B65">
        <v>75</v>
      </c>
      <c r="C65" t="s">
        <v>1585</v>
      </c>
      <c r="D65" t="s">
        <v>1335</v>
      </c>
      <c r="E65" t="s">
        <v>212</v>
      </c>
      <c r="F65" t="s">
        <v>221</v>
      </c>
    </row>
    <row r="66" spans="1:6" x14ac:dyDescent="0.3">
      <c r="A66" t="s">
        <v>96</v>
      </c>
      <c r="B66">
        <v>76</v>
      </c>
      <c r="C66" t="s">
        <v>1585</v>
      </c>
      <c r="D66" t="s">
        <v>1335</v>
      </c>
      <c r="E66" t="s">
        <v>216</v>
      </c>
      <c r="F66" t="s">
        <v>225</v>
      </c>
    </row>
    <row r="67" spans="1:6" x14ac:dyDescent="0.3">
      <c r="A67" t="s">
        <v>97</v>
      </c>
      <c r="B67">
        <v>77</v>
      </c>
      <c r="C67" t="s">
        <v>1585</v>
      </c>
      <c r="D67" t="s">
        <v>1335</v>
      </c>
      <c r="E67" t="s">
        <v>217</v>
      </c>
      <c r="F67" t="s">
        <v>226</v>
      </c>
    </row>
    <row r="68" spans="1:6" x14ac:dyDescent="0.3">
      <c r="A68" t="s">
        <v>98</v>
      </c>
      <c r="B68">
        <v>78</v>
      </c>
      <c r="C68" t="s">
        <v>1585</v>
      </c>
      <c r="D68" t="s">
        <v>1335</v>
      </c>
      <c r="E68" t="s">
        <v>218</v>
      </c>
      <c r="F68" t="s">
        <v>227</v>
      </c>
    </row>
    <row r="69" spans="1:6" x14ac:dyDescent="0.3">
      <c r="A69" t="s">
        <v>99</v>
      </c>
      <c r="B69">
        <v>80</v>
      </c>
      <c r="C69" t="s">
        <v>1585</v>
      </c>
      <c r="D69" t="s">
        <v>1335</v>
      </c>
      <c r="E69" t="s">
        <v>209</v>
      </c>
      <c r="F69" t="s">
        <v>228</v>
      </c>
    </row>
    <row r="70" spans="1:6" x14ac:dyDescent="0.3">
      <c r="A70" t="s">
        <v>100</v>
      </c>
      <c r="B70">
        <v>82</v>
      </c>
      <c r="C70" t="s">
        <v>1585</v>
      </c>
      <c r="D70" t="s">
        <v>1335</v>
      </c>
      <c r="E70" t="s">
        <v>210</v>
      </c>
      <c r="F70" t="s">
        <v>219</v>
      </c>
    </row>
    <row r="71" spans="1:6" x14ac:dyDescent="0.3">
      <c r="A71" t="s">
        <v>29</v>
      </c>
      <c r="B71">
        <v>83</v>
      </c>
      <c r="C71" t="s">
        <v>1585</v>
      </c>
      <c r="D71" t="s">
        <v>1335</v>
      </c>
      <c r="E71" t="s">
        <v>211</v>
      </c>
      <c r="F71" t="s">
        <v>220</v>
      </c>
    </row>
    <row r="72" spans="1:6" x14ac:dyDescent="0.3">
      <c r="A72" t="s">
        <v>101</v>
      </c>
      <c r="B72">
        <v>84</v>
      </c>
      <c r="C72" t="s">
        <v>1585</v>
      </c>
      <c r="D72" t="s">
        <v>1335</v>
      </c>
      <c r="E72" t="s">
        <v>212</v>
      </c>
      <c r="F72" t="s">
        <v>221</v>
      </c>
    </row>
    <row r="73" spans="1:6" x14ac:dyDescent="0.3">
      <c r="A73" t="s">
        <v>102</v>
      </c>
      <c r="B73">
        <v>85</v>
      </c>
      <c r="C73" t="s">
        <v>1585</v>
      </c>
      <c r="D73" t="s">
        <v>1335</v>
      </c>
      <c r="E73" t="s">
        <v>212</v>
      </c>
      <c r="F73" t="s">
        <v>221</v>
      </c>
    </row>
    <row r="74" spans="1:6" x14ac:dyDescent="0.3">
      <c r="A74" t="s">
        <v>103</v>
      </c>
      <c r="B74">
        <v>86</v>
      </c>
      <c r="C74" t="s">
        <v>1585</v>
      </c>
      <c r="D74" t="s">
        <v>1335</v>
      </c>
      <c r="E74" t="s">
        <v>212</v>
      </c>
      <c r="F74" t="s">
        <v>221</v>
      </c>
    </row>
    <row r="75" spans="1:6" x14ac:dyDescent="0.3">
      <c r="A75" t="s">
        <v>104</v>
      </c>
      <c r="B75">
        <v>87</v>
      </c>
      <c r="C75" t="s">
        <v>1585</v>
      </c>
      <c r="D75" t="s">
        <v>1335</v>
      </c>
      <c r="E75" t="s">
        <v>212</v>
      </c>
      <c r="F75" t="s">
        <v>221</v>
      </c>
    </row>
    <row r="76" spans="1:6" x14ac:dyDescent="0.3">
      <c r="A76" t="s">
        <v>105</v>
      </c>
      <c r="B76">
        <v>88</v>
      </c>
      <c r="C76" t="s">
        <v>1585</v>
      </c>
      <c r="D76" t="s">
        <v>1335</v>
      </c>
      <c r="E76" t="s">
        <v>216</v>
      </c>
      <c r="F76" t="s">
        <v>225</v>
      </c>
    </row>
    <row r="77" spans="1:6" x14ac:dyDescent="0.3">
      <c r="A77" t="s">
        <v>205</v>
      </c>
      <c r="B77">
        <v>89</v>
      </c>
      <c r="C77" t="s">
        <v>1585</v>
      </c>
      <c r="D77" t="s">
        <v>1335</v>
      </c>
      <c r="E77" t="s">
        <v>213</v>
      </c>
      <c r="F77" t="s">
        <v>222</v>
      </c>
    </row>
    <row r="78" spans="1:6" x14ac:dyDescent="0.3">
      <c r="A78" t="s">
        <v>106</v>
      </c>
      <c r="B78">
        <v>90</v>
      </c>
      <c r="C78" t="s">
        <v>1585</v>
      </c>
      <c r="D78" t="s">
        <v>1335</v>
      </c>
      <c r="E78" t="s">
        <v>217</v>
      </c>
      <c r="F78" t="s">
        <v>226</v>
      </c>
    </row>
    <row r="79" spans="1:6" x14ac:dyDescent="0.3">
      <c r="A79" t="s">
        <v>107</v>
      </c>
      <c r="B79">
        <v>91</v>
      </c>
      <c r="C79" t="s">
        <v>1585</v>
      </c>
      <c r="D79" t="s">
        <v>1335</v>
      </c>
      <c r="E79" t="s">
        <v>218</v>
      </c>
      <c r="F79" t="s">
        <v>227</v>
      </c>
    </row>
    <row r="80" spans="1:6" x14ac:dyDescent="0.3">
      <c r="A80" t="s">
        <v>108</v>
      </c>
      <c r="B80">
        <v>92</v>
      </c>
      <c r="C80" t="s">
        <v>1585</v>
      </c>
      <c r="D80" t="s">
        <v>1335</v>
      </c>
      <c r="E80" t="s">
        <v>212</v>
      </c>
      <c r="F80" t="s">
        <v>221</v>
      </c>
    </row>
    <row r="81" spans="1:6" x14ac:dyDescent="0.3">
      <c r="A81" t="s">
        <v>109</v>
      </c>
      <c r="B81">
        <v>93</v>
      </c>
      <c r="C81" t="s">
        <v>1585</v>
      </c>
      <c r="D81" t="s">
        <v>1335</v>
      </c>
      <c r="E81" t="s">
        <v>212</v>
      </c>
      <c r="F81" t="s">
        <v>221</v>
      </c>
    </row>
    <row r="82" spans="1:6" x14ac:dyDescent="0.3">
      <c r="A82" t="s">
        <v>110</v>
      </c>
      <c r="B82">
        <v>94</v>
      </c>
      <c r="C82" t="s">
        <v>1585</v>
      </c>
      <c r="D82" t="s">
        <v>1335</v>
      </c>
      <c r="E82" t="s">
        <v>212</v>
      </c>
      <c r="F82" t="s">
        <v>221</v>
      </c>
    </row>
    <row r="83" spans="1:6" x14ac:dyDescent="0.3">
      <c r="A83" t="s">
        <v>111</v>
      </c>
      <c r="B83">
        <v>95</v>
      </c>
      <c r="C83" t="s">
        <v>1585</v>
      </c>
      <c r="D83" t="s">
        <v>1335</v>
      </c>
      <c r="E83" t="s">
        <v>212</v>
      </c>
      <c r="F83" t="s">
        <v>221</v>
      </c>
    </row>
    <row r="84" spans="1:6" x14ac:dyDescent="0.3">
      <c r="A84" t="s">
        <v>112</v>
      </c>
      <c r="B84">
        <v>96</v>
      </c>
      <c r="C84" t="s">
        <v>1585</v>
      </c>
      <c r="D84" t="s">
        <v>1335</v>
      </c>
      <c r="E84" t="s">
        <v>212</v>
      </c>
      <c r="F84" t="s">
        <v>221</v>
      </c>
    </row>
    <row r="85" spans="1:6" x14ac:dyDescent="0.3">
      <c r="A85" t="s">
        <v>113</v>
      </c>
      <c r="B85">
        <v>97</v>
      </c>
      <c r="C85" t="s">
        <v>1585</v>
      </c>
      <c r="D85" t="s">
        <v>1335</v>
      </c>
      <c r="E85" t="s">
        <v>216</v>
      </c>
      <c r="F85" t="s">
        <v>225</v>
      </c>
    </row>
    <row r="86" spans="1:6" x14ac:dyDescent="0.3">
      <c r="A86" t="s">
        <v>114</v>
      </c>
      <c r="B86">
        <v>98</v>
      </c>
      <c r="C86" t="s">
        <v>1585</v>
      </c>
      <c r="D86" t="s">
        <v>1335</v>
      </c>
      <c r="E86" t="s">
        <v>217</v>
      </c>
      <c r="F86" t="s">
        <v>226</v>
      </c>
    </row>
    <row r="87" spans="1:6" x14ac:dyDescent="0.3">
      <c r="A87" t="s">
        <v>115</v>
      </c>
      <c r="B87">
        <v>99</v>
      </c>
      <c r="C87" t="s">
        <v>1585</v>
      </c>
      <c r="D87" t="s">
        <v>1335</v>
      </c>
      <c r="E87" t="s">
        <v>218</v>
      </c>
      <c r="F87" t="s">
        <v>227</v>
      </c>
    </row>
    <row r="88" spans="1:6" x14ac:dyDescent="0.3">
      <c r="A88" t="s">
        <v>116</v>
      </c>
      <c r="B88">
        <v>100</v>
      </c>
      <c r="C88" t="s">
        <v>1585</v>
      </c>
      <c r="D88" t="s">
        <v>1335</v>
      </c>
      <c r="E88" t="s">
        <v>218</v>
      </c>
      <c r="F88" t="s">
        <v>227</v>
      </c>
    </row>
    <row r="89" spans="1:6" x14ac:dyDescent="0.3">
      <c r="A89" t="s">
        <v>117</v>
      </c>
      <c r="B89">
        <v>103</v>
      </c>
      <c r="C89" t="s">
        <v>1585</v>
      </c>
      <c r="D89" t="s">
        <v>1335</v>
      </c>
      <c r="E89" t="s">
        <v>210</v>
      </c>
      <c r="F89" t="s">
        <v>219</v>
      </c>
    </row>
    <row r="90" spans="1:6" x14ac:dyDescent="0.3">
      <c r="A90" t="s">
        <v>30</v>
      </c>
      <c r="B90">
        <v>104</v>
      </c>
      <c r="C90" t="s">
        <v>1585</v>
      </c>
      <c r="D90" t="s">
        <v>1335</v>
      </c>
      <c r="E90" t="s">
        <v>211</v>
      </c>
      <c r="F90" t="s">
        <v>220</v>
      </c>
    </row>
    <row r="91" spans="1:6" x14ac:dyDescent="0.3">
      <c r="A91" t="s">
        <v>118</v>
      </c>
      <c r="B91">
        <v>105</v>
      </c>
      <c r="C91" t="s">
        <v>1585</v>
      </c>
      <c r="D91" t="s">
        <v>1335</v>
      </c>
      <c r="E91" t="s">
        <v>212</v>
      </c>
      <c r="F91" t="s">
        <v>221</v>
      </c>
    </row>
    <row r="92" spans="1:6" x14ac:dyDescent="0.3">
      <c r="A92" t="s">
        <v>119</v>
      </c>
      <c r="B92">
        <v>106</v>
      </c>
      <c r="C92" t="s">
        <v>1585</v>
      </c>
      <c r="D92" t="s">
        <v>1335</v>
      </c>
      <c r="E92" t="s">
        <v>212</v>
      </c>
      <c r="F92" t="s">
        <v>221</v>
      </c>
    </row>
    <row r="93" spans="1:6" x14ac:dyDescent="0.3">
      <c r="A93" t="s">
        <v>120</v>
      </c>
      <c r="B93">
        <v>107</v>
      </c>
      <c r="C93" t="s">
        <v>1585</v>
      </c>
      <c r="D93" t="s">
        <v>1335</v>
      </c>
      <c r="E93" t="s">
        <v>212</v>
      </c>
      <c r="F93" t="s">
        <v>221</v>
      </c>
    </row>
    <row r="94" spans="1:6" x14ac:dyDescent="0.3">
      <c r="A94" t="s">
        <v>121</v>
      </c>
      <c r="B94">
        <v>108</v>
      </c>
      <c r="C94" t="s">
        <v>1585</v>
      </c>
      <c r="D94" t="s">
        <v>1335</v>
      </c>
      <c r="E94" t="s">
        <v>212</v>
      </c>
      <c r="F94" t="s">
        <v>221</v>
      </c>
    </row>
    <row r="95" spans="1:6" x14ac:dyDescent="0.3">
      <c r="A95" t="s">
        <v>122</v>
      </c>
      <c r="B95">
        <v>109</v>
      </c>
      <c r="C95" t="s">
        <v>1585</v>
      </c>
      <c r="D95" t="s">
        <v>1335</v>
      </c>
      <c r="E95" t="s">
        <v>216</v>
      </c>
      <c r="F95" t="s">
        <v>225</v>
      </c>
    </row>
    <row r="96" spans="1:6" x14ac:dyDescent="0.3">
      <c r="A96" t="s">
        <v>123</v>
      </c>
      <c r="B96">
        <v>110</v>
      </c>
      <c r="C96" t="s">
        <v>1585</v>
      </c>
      <c r="D96" t="s">
        <v>1335</v>
      </c>
      <c r="E96" t="s">
        <v>217</v>
      </c>
      <c r="F96" t="s">
        <v>226</v>
      </c>
    </row>
    <row r="97" spans="1:6" x14ac:dyDescent="0.3">
      <c r="A97" t="s">
        <v>124</v>
      </c>
      <c r="B97">
        <v>111</v>
      </c>
      <c r="C97" t="s">
        <v>1585</v>
      </c>
      <c r="D97" t="s">
        <v>1335</v>
      </c>
      <c r="E97" t="s">
        <v>213</v>
      </c>
      <c r="F97" t="s">
        <v>222</v>
      </c>
    </row>
    <row r="98" spans="1:6" x14ac:dyDescent="0.3">
      <c r="A98" t="s">
        <v>125</v>
      </c>
      <c r="B98">
        <v>112</v>
      </c>
      <c r="C98" t="s">
        <v>1585</v>
      </c>
      <c r="D98" t="s">
        <v>1335</v>
      </c>
      <c r="E98" t="s">
        <v>218</v>
      </c>
      <c r="F98" t="s">
        <v>227</v>
      </c>
    </row>
    <row r="99" spans="1:6" x14ac:dyDescent="0.3">
      <c r="A99" t="s">
        <v>126</v>
      </c>
      <c r="B99">
        <v>113</v>
      </c>
      <c r="C99" t="s">
        <v>1585</v>
      </c>
      <c r="D99" t="s">
        <v>1335</v>
      </c>
      <c r="E99" t="s">
        <v>218</v>
      </c>
      <c r="F99" t="s">
        <v>227</v>
      </c>
    </row>
    <row r="100" spans="1:6" x14ac:dyDescent="0.3">
      <c r="A100" t="s">
        <v>127</v>
      </c>
      <c r="B100">
        <v>114</v>
      </c>
      <c r="C100" t="s">
        <v>1585</v>
      </c>
      <c r="D100" t="s">
        <v>1335</v>
      </c>
      <c r="E100" t="s">
        <v>218</v>
      </c>
      <c r="F100" t="s">
        <v>227</v>
      </c>
    </row>
    <row r="101" spans="1:6" x14ac:dyDescent="0.3">
      <c r="A101" t="s">
        <v>128</v>
      </c>
      <c r="B101">
        <v>115</v>
      </c>
      <c r="C101" t="s">
        <v>1585</v>
      </c>
      <c r="D101" t="s">
        <v>1335</v>
      </c>
      <c r="E101" t="s">
        <v>212</v>
      </c>
      <c r="F101" t="s">
        <v>221</v>
      </c>
    </row>
    <row r="102" spans="1:6" x14ac:dyDescent="0.3">
      <c r="A102" t="s">
        <v>233</v>
      </c>
      <c r="B102">
        <v>120</v>
      </c>
      <c r="C102" t="s">
        <v>1585</v>
      </c>
      <c r="D102" t="s">
        <v>1335</v>
      </c>
      <c r="E102" t="s">
        <v>209</v>
      </c>
      <c r="F102" t="s">
        <v>228</v>
      </c>
    </row>
    <row r="103" spans="1:6" x14ac:dyDescent="0.3">
      <c r="A103" t="s">
        <v>234</v>
      </c>
      <c r="B103">
        <v>123</v>
      </c>
      <c r="C103" t="s">
        <v>1585</v>
      </c>
      <c r="D103" t="s">
        <v>1335</v>
      </c>
      <c r="E103" t="s">
        <v>211</v>
      </c>
      <c r="F103" t="s">
        <v>220</v>
      </c>
    </row>
    <row r="104" spans="1:6" x14ac:dyDescent="0.3">
      <c r="A104" t="s">
        <v>235</v>
      </c>
      <c r="B104">
        <v>124</v>
      </c>
      <c r="C104" t="s">
        <v>1585</v>
      </c>
      <c r="D104" t="s">
        <v>1335</v>
      </c>
      <c r="E104" t="s">
        <v>209</v>
      </c>
      <c r="F104" t="s">
        <v>228</v>
      </c>
    </row>
    <row r="105" spans="1:6" x14ac:dyDescent="0.3">
      <c r="A105" t="s">
        <v>236</v>
      </c>
      <c r="B105">
        <v>127</v>
      </c>
      <c r="C105" t="s">
        <v>1585</v>
      </c>
      <c r="D105" t="s">
        <v>1335</v>
      </c>
      <c r="E105" t="s">
        <v>211</v>
      </c>
      <c r="F105" t="s">
        <v>220</v>
      </c>
    </row>
    <row r="106" spans="1:6" x14ac:dyDescent="0.3">
      <c r="A106" t="s">
        <v>237</v>
      </c>
      <c r="B106">
        <v>128</v>
      </c>
      <c r="C106" t="s">
        <v>1585</v>
      </c>
      <c r="D106" t="s">
        <v>1335</v>
      </c>
      <c r="E106" t="s">
        <v>209</v>
      </c>
      <c r="F106" t="s">
        <v>228</v>
      </c>
    </row>
    <row r="107" spans="1:6" x14ac:dyDescent="0.3">
      <c r="A107" t="s">
        <v>238</v>
      </c>
      <c r="B107">
        <v>131</v>
      </c>
      <c r="C107" t="s">
        <v>1585</v>
      </c>
      <c r="D107" t="s">
        <v>1335</v>
      </c>
      <c r="E107" t="s">
        <v>211</v>
      </c>
      <c r="F107" t="s">
        <v>220</v>
      </c>
    </row>
    <row r="108" spans="1:6" x14ac:dyDescent="0.3">
      <c r="A108" t="s">
        <v>239</v>
      </c>
      <c r="B108">
        <v>132</v>
      </c>
      <c r="C108" t="s">
        <v>1585</v>
      </c>
      <c r="D108" t="s">
        <v>1335</v>
      </c>
      <c r="E108" t="s">
        <v>209</v>
      </c>
      <c r="F108" t="s">
        <v>228</v>
      </c>
    </row>
    <row r="109" spans="1:6" x14ac:dyDescent="0.3">
      <c r="A109" t="s">
        <v>240</v>
      </c>
      <c r="B109">
        <v>135</v>
      </c>
      <c r="C109" t="s">
        <v>1585</v>
      </c>
      <c r="D109" t="s">
        <v>1335</v>
      </c>
      <c r="E109" t="s">
        <v>211</v>
      </c>
      <c r="F109" t="s">
        <v>220</v>
      </c>
    </row>
    <row r="110" spans="1:6" x14ac:dyDescent="0.3">
      <c r="A110" t="s">
        <v>241</v>
      </c>
      <c r="B110">
        <v>136</v>
      </c>
      <c r="C110" t="s">
        <v>1585</v>
      </c>
      <c r="D110" t="s">
        <v>1335</v>
      </c>
      <c r="E110" t="s">
        <v>209</v>
      </c>
      <c r="F110" t="s">
        <v>228</v>
      </c>
    </row>
    <row r="111" spans="1:6" x14ac:dyDescent="0.3">
      <c r="A111" t="s">
        <v>242</v>
      </c>
      <c r="B111">
        <v>139</v>
      </c>
      <c r="C111" t="s">
        <v>1585</v>
      </c>
      <c r="D111" t="s">
        <v>1335</v>
      </c>
      <c r="E111" t="s">
        <v>211</v>
      </c>
      <c r="F111" t="s">
        <v>220</v>
      </c>
    </row>
    <row r="112" spans="1:6" x14ac:dyDescent="0.3">
      <c r="A112" t="s">
        <v>243</v>
      </c>
      <c r="B112">
        <v>140</v>
      </c>
      <c r="C112" t="s">
        <v>1585</v>
      </c>
      <c r="D112" t="s">
        <v>1335</v>
      </c>
      <c r="E112" t="s">
        <v>209</v>
      </c>
      <c r="F112" t="s">
        <v>228</v>
      </c>
    </row>
    <row r="113" spans="1:6" x14ac:dyDescent="0.3">
      <c r="A113" t="s">
        <v>244</v>
      </c>
      <c r="B113">
        <v>143</v>
      </c>
      <c r="C113" t="s">
        <v>1585</v>
      </c>
      <c r="D113" t="s">
        <v>1335</v>
      </c>
      <c r="E113" t="s">
        <v>211</v>
      </c>
      <c r="F113" t="s">
        <v>220</v>
      </c>
    </row>
    <row r="114" spans="1:6" x14ac:dyDescent="0.3">
      <c r="A114" t="s">
        <v>245</v>
      </c>
      <c r="B114">
        <v>144</v>
      </c>
      <c r="C114" t="s">
        <v>1585</v>
      </c>
      <c r="D114" t="s">
        <v>1335</v>
      </c>
      <c r="E114" t="s">
        <v>209</v>
      </c>
      <c r="F114" t="s">
        <v>228</v>
      </c>
    </row>
    <row r="115" spans="1:6" x14ac:dyDescent="0.3">
      <c r="A115" t="s">
        <v>246</v>
      </c>
      <c r="B115">
        <v>147</v>
      </c>
      <c r="C115" t="s">
        <v>1585</v>
      </c>
      <c r="D115" t="s">
        <v>1335</v>
      </c>
      <c r="E115" t="s">
        <v>211</v>
      </c>
      <c r="F115" t="s">
        <v>220</v>
      </c>
    </row>
    <row r="116" spans="1:6" x14ac:dyDescent="0.3">
      <c r="A116" t="s">
        <v>247</v>
      </c>
      <c r="B116">
        <v>148</v>
      </c>
      <c r="C116" t="s">
        <v>1585</v>
      </c>
      <c r="D116" t="s">
        <v>1335</v>
      </c>
      <c r="E116" t="s">
        <v>209</v>
      </c>
      <c r="F116" t="s">
        <v>228</v>
      </c>
    </row>
    <row r="117" spans="1:6" x14ac:dyDescent="0.3">
      <c r="A117" t="s">
        <v>248</v>
      </c>
      <c r="B117">
        <v>151</v>
      </c>
      <c r="C117" t="s">
        <v>1585</v>
      </c>
      <c r="D117" t="s">
        <v>1335</v>
      </c>
      <c r="E117" t="s">
        <v>211</v>
      </c>
      <c r="F117" t="s">
        <v>220</v>
      </c>
    </row>
    <row r="118" spans="1:6" x14ac:dyDescent="0.3">
      <c r="A118" t="s">
        <v>249</v>
      </c>
      <c r="B118">
        <v>152</v>
      </c>
      <c r="C118" t="s">
        <v>1585</v>
      </c>
      <c r="D118" t="s">
        <v>1335</v>
      </c>
      <c r="E118" t="s">
        <v>209</v>
      </c>
      <c r="F118" t="s">
        <v>228</v>
      </c>
    </row>
    <row r="119" spans="1:6" x14ac:dyDescent="0.3">
      <c r="A119" t="s">
        <v>250</v>
      </c>
      <c r="B119">
        <v>155</v>
      </c>
      <c r="C119" t="s">
        <v>1585</v>
      </c>
      <c r="D119" t="s">
        <v>1335</v>
      </c>
      <c r="E119" t="s">
        <v>211</v>
      </c>
      <c r="F119" t="s">
        <v>220</v>
      </c>
    </row>
    <row r="120" spans="1:6" x14ac:dyDescent="0.3">
      <c r="A120" t="s">
        <v>251</v>
      </c>
      <c r="B120">
        <v>156</v>
      </c>
      <c r="C120" t="s">
        <v>1585</v>
      </c>
      <c r="D120" t="s">
        <v>1335</v>
      </c>
      <c r="E120" t="s">
        <v>209</v>
      </c>
      <c r="F120" t="s">
        <v>228</v>
      </c>
    </row>
    <row r="121" spans="1:6" x14ac:dyDescent="0.3">
      <c r="A121" t="s">
        <v>252</v>
      </c>
      <c r="B121">
        <v>159</v>
      </c>
      <c r="C121" t="s">
        <v>1585</v>
      </c>
      <c r="D121" t="s">
        <v>1335</v>
      </c>
      <c r="E121" t="s">
        <v>211</v>
      </c>
      <c r="F121" t="s">
        <v>220</v>
      </c>
    </row>
    <row r="122" spans="1:6" x14ac:dyDescent="0.3">
      <c r="A122" t="s">
        <v>253</v>
      </c>
      <c r="B122">
        <v>160</v>
      </c>
      <c r="C122" t="s">
        <v>1585</v>
      </c>
      <c r="D122" t="s">
        <v>1335</v>
      </c>
      <c r="E122" t="s">
        <v>209</v>
      </c>
      <c r="F122" t="s">
        <v>228</v>
      </c>
    </row>
    <row r="123" spans="1:6" x14ac:dyDescent="0.3">
      <c r="A123" t="s">
        <v>254</v>
      </c>
      <c r="B123">
        <v>163</v>
      </c>
      <c r="C123" t="s">
        <v>1585</v>
      </c>
      <c r="D123" t="s">
        <v>1335</v>
      </c>
      <c r="E123" t="s">
        <v>211</v>
      </c>
      <c r="F123" t="s">
        <v>220</v>
      </c>
    </row>
    <row r="124" spans="1:6" x14ac:dyDescent="0.3">
      <c r="A124" t="s">
        <v>255</v>
      </c>
      <c r="B124">
        <v>164</v>
      </c>
      <c r="C124" t="s">
        <v>1585</v>
      </c>
      <c r="D124" t="s">
        <v>1335</v>
      </c>
      <c r="E124" t="s">
        <v>209</v>
      </c>
      <c r="F124" t="s">
        <v>228</v>
      </c>
    </row>
    <row r="125" spans="1:6" x14ac:dyDescent="0.3">
      <c r="A125" t="s">
        <v>256</v>
      </c>
      <c r="B125">
        <v>167</v>
      </c>
      <c r="C125" t="s">
        <v>1585</v>
      </c>
      <c r="D125" t="s">
        <v>1335</v>
      </c>
      <c r="E125" t="s">
        <v>211</v>
      </c>
      <c r="F125" t="s">
        <v>220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7EC81-7495-4A5C-9994-0A6E6422A1C0}">
  <sheetPr codeName="Sheet15"/>
  <dimension ref="A1:K16"/>
  <sheetViews>
    <sheetView workbookViewId="0">
      <selection activeCell="K15" sqref="K15"/>
    </sheetView>
  </sheetViews>
  <sheetFormatPr defaultRowHeight="16.5" x14ac:dyDescent="0.3"/>
  <cols>
    <col min="1" max="1" width="17.375" bestFit="1" customWidth="1"/>
    <col min="2" max="2" width="20.125" bestFit="1" customWidth="1"/>
    <col min="3" max="3" width="9.5" bestFit="1" customWidth="1"/>
    <col min="4" max="4" width="20.125" bestFit="1" customWidth="1"/>
    <col min="5" max="5" width="20.875" bestFit="1" customWidth="1"/>
    <col min="6" max="6" width="7.375" bestFit="1" customWidth="1"/>
    <col min="7" max="7" width="5.125" bestFit="1" customWidth="1"/>
    <col min="8" max="8" width="16.375" bestFit="1" customWidth="1"/>
    <col min="9" max="9" width="6.375" bestFit="1" customWidth="1"/>
    <col min="10" max="10" width="40.75" bestFit="1" customWidth="1"/>
  </cols>
  <sheetData>
    <row r="1" spans="1:11" x14ac:dyDescent="0.3">
      <c r="A1" t="s">
        <v>141</v>
      </c>
      <c r="B1" t="s">
        <v>7</v>
      </c>
      <c r="C1" s="3" t="s">
        <v>132</v>
      </c>
      <c r="D1" t="s">
        <v>5</v>
      </c>
      <c r="E1" t="s">
        <v>2</v>
      </c>
      <c r="F1" t="s">
        <v>3</v>
      </c>
      <c r="G1" t="s">
        <v>4</v>
      </c>
      <c r="H1" t="s">
        <v>31</v>
      </c>
      <c r="I1" t="s">
        <v>34</v>
      </c>
      <c r="J1" t="s">
        <v>32</v>
      </c>
      <c r="K1" t="s">
        <v>33</v>
      </c>
    </row>
    <row r="2" spans="1:11" x14ac:dyDescent="0.3">
      <c r="A2" t="s">
        <v>155</v>
      </c>
      <c r="B2" t="str">
        <f>SUBSTITUTE(RegPWM[[#This Row],[Obj]],"_","-")</f>
        <v>SPARE-PWM-0</v>
      </c>
      <c r="C2" s="3"/>
      <c r="D2" t="str">
        <f>"SPARE_PWM_" &amp; RegPWM[[#This Row],[ID]]</f>
        <v>SPARE_PWM_0</v>
      </c>
      <c r="E2" t="str">
        <f>"_" &amp; RegPWM[[#This Row],[Obj]]</f>
        <v>_SPARE_PWM_0</v>
      </c>
      <c r="F2" t="s">
        <v>0</v>
      </c>
      <c r="G2">
        <f>ROW()-2</f>
        <v>0</v>
      </c>
      <c r="H2" t="s">
        <v>1585</v>
      </c>
      <c r="I2" t="s">
        <v>1335</v>
      </c>
      <c r="J2" t="str">
        <f>SUBSTITUTE(HMIPATH_RegPWM,"$",RegPWM[[#This Row],[ID]])</f>
        <v>ObjRegPWM.InOut[0]</v>
      </c>
      <c r="K2" t="str" cm="1">
        <f t="array" ref="K2">FMotorModulating(RegPWM[[#This Row],[Obj]],RegPWM[[#This Row],[Tag]])</f>
        <v/>
      </c>
    </row>
    <row r="3" spans="1:11" x14ac:dyDescent="0.3">
      <c r="A3" t="s">
        <v>155</v>
      </c>
      <c r="B3" t="str">
        <f>SUBSTITUTE(RegPWM[[#This Row],[Obj]],"_","-")</f>
        <v>AHU-0201-R09-PWM1</v>
      </c>
      <c r="C3" s="3" t="s">
        <v>130</v>
      </c>
      <c r="D3" t="s">
        <v>154</v>
      </c>
      <c r="E3" t="str">
        <f>"_" &amp; RegPWM[[#This Row],[Obj]]</f>
        <v>_AHU_0201_R09_PWM1</v>
      </c>
      <c r="F3" t="s">
        <v>0</v>
      </c>
      <c r="G3">
        <f t="shared" ref="G3:G4" si="0">ROW()-2</f>
        <v>1</v>
      </c>
      <c r="H3" t="s">
        <v>1585</v>
      </c>
      <c r="I3" t="s">
        <v>1335</v>
      </c>
      <c r="J3" t="str">
        <f>SUBSTITUTE(HMIPATH_RegPWM,"$",RegPWM[[#This Row],[ID]])</f>
        <v>ObjRegPWM.InOut[1]</v>
      </c>
      <c r="K3" t="e" cm="1">
        <f t="array" ref="K3">FRegPWM(RegPWM[[#This Row],[Obj]],RegPWM[[#This Row],[Tag]])</f>
        <v>#VALUE!</v>
      </c>
    </row>
    <row r="4" spans="1:11" x14ac:dyDescent="0.3">
      <c r="A4" t="s">
        <v>155</v>
      </c>
      <c r="B4" t="str">
        <f>SUBSTITUTE(RegPWM[[#This Row],[Obj]],"_","-")</f>
        <v>AHU-0202-R13-PWM1</v>
      </c>
      <c r="C4" s="3" t="s">
        <v>131</v>
      </c>
      <c r="D4" t="s">
        <v>164</v>
      </c>
      <c r="E4" t="str">
        <f>"_" &amp; RegPWM[[#This Row],[Obj]]</f>
        <v>_AHU_0202_R13_PWM1</v>
      </c>
      <c r="F4" t="s">
        <v>0</v>
      </c>
      <c r="G4">
        <f t="shared" si="0"/>
        <v>2</v>
      </c>
      <c r="H4" t="s">
        <v>1585</v>
      </c>
      <c r="I4" t="s">
        <v>1335</v>
      </c>
      <c r="J4" t="str">
        <f>SUBSTITUTE(HMIPATH_RegPWM,"$",RegPWM[[#This Row],[ID]])</f>
        <v>ObjRegPWM.InOut[2]</v>
      </c>
      <c r="K4" t="e" cm="1">
        <f t="array" ref="K4">FRegPWM(RegPWM[[#This Row],[Obj]],RegPWM[[#This Row],[Tag]])</f>
        <v>#VALUE!</v>
      </c>
    </row>
    <row r="5" spans="1:11" x14ac:dyDescent="0.3">
      <c r="A5" t="s">
        <v>155</v>
      </c>
      <c r="B5" t="str">
        <f>SUBSTITUTE(RegPWM[[#This Row],[Obj]],"_","-")</f>
        <v>AHU-0203-R15-PWM1</v>
      </c>
      <c r="C5" s="3" t="s">
        <v>134</v>
      </c>
      <c r="D5" t="s">
        <v>165</v>
      </c>
      <c r="E5" t="str">
        <f>"_" &amp; RegPWM[[#This Row],[Obj]]</f>
        <v>_AHU_0203_R15_PWM1</v>
      </c>
      <c r="F5" t="s">
        <v>0</v>
      </c>
      <c r="G5">
        <f t="shared" ref="G5:G16" si="1">ROW()-2</f>
        <v>3</v>
      </c>
      <c r="H5" t="s">
        <v>1585</v>
      </c>
      <c r="I5" t="s">
        <v>1335</v>
      </c>
      <c r="J5" t="str">
        <f>SUBSTITUTE(HMIPATH_RegPWM,"$",RegPWM[[#This Row],[ID]])</f>
        <v>ObjRegPWM.InOut[3]</v>
      </c>
      <c r="K5" t="e" cm="1">
        <f t="array" ref="K5">FRegPWM(RegPWM[[#This Row],[Obj]],RegPWM[[#This Row],[Tag]])</f>
        <v>#VALUE!</v>
      </c>
    </row>
    <row r="6" spans="1:11" x14ac:dyDescent="0.3">
      <c r="A6" t="s">
        <v>155</v>
      </c>
      <c r="B6" t="str">
        <f>SUBSTITUTE(RegPWM[[#This Row],[Obj]],"_","-")</f>
        <v>AHU-0203-R23-PWM1</v>
      </c>
      <c r="C6" s="3" t="s">
        <v>134</v>
      </c>
      <c r="D6" t="s">
        <v>166</v>
      </c>
      <c r="E6" t="str">
        <f>"_" &amp; RegPWM[[#This Row],[Obj]]</f>
        <v>_AHU_0203_R23_PWM1</v>
      </c>
      <c r="F6" t="s">
        <v>0</v>
      </c>
      <c r="G6">
        <f t="shared" si="1"/>
        <v>4</v>
      </c>
      <c r="H6" t="s">
        <v>1585</v>
      </c>
      <c r="I6" t="s">
        <v>1335</v>
      </c>
      <c r="J6" t="str">
        <f>SUBSTITUTE(HMIPATH_RegPWM,"$",RegPWM[[#This Row],[ID]])</f>
        <v>ObjRegPWM.InOut[4]</v>
      </c>
      <c r="K6" t="e" cm="1">
        <f t="array" ref="K6">FRegPWM(RegPWM[[#This Row],[Obj]],RegPWM[[#This Row],[Tag]])</f>
        <v>#VALUE!</v>
      </c>
    </row>
    <row r="7" spans="1:11" x14ac:dyDescent="0.3">
      <c r="A7" t="s">
        <v>155</v>
      </c>
      <c r="B7" t="str">
        <f>SUBSTITUTE(RegPWM[[#This Row],[Obj]],"_","-")</f>
        <v>AHU-0204-R17-PWM1</v>
      </c>
      <c r="C7" s="3" t="s">
        <v>135</v>
      </c>
      <c r="D7" t="s">
        <v>167</v>
      </c>
      <c r="E7" t="str">
        <f>"_" &amp; RegPWM[[#This Row],[Obj]]</f>
        <v>_AHU_0204_R17_PWM1</v>
      </c>
      <c r="F7" t="s">
        <v>0</v>
      </c>
      <c r="G7">
        <f t="shared" si="1"/>
        <v>5</v>
      </c>
      <c r="H7" t="s">
        <v>1585</v>
      </c>
      <c r="I7" t="s">
        <v>1335</v>
      </c>
      <c r="J7" t="str">
        <f>SUBSTITUTE(HMIPATH_RegPWM,"$",RegPWM[[#This Row],[ID]])</f>
        <v>ObjRegPWM.InOut[5]</v>
      </c>
      <c r="K7" t="e" cm="1">
        <f t="array" ref="K7">FRegPWM(RegPWM[[#This Row],[Obj]],RegPWM[[#This Row],[Tag]])</f>
        <v>#VALUE!</v>
      </c>
    </row>
    <row r="8" spans="1:11" x14ac:dyDescent="0.3">
      <c r="A8" t="s">
        <v>155</v>
      </c>
      <c r="B8" t="str">
        <f>SUBSTITUTE(RegPWM[[#This Row],[Obj]],"_","-")</f>
        <v>AHU-0205-R21-PWM1</v>
      </c>
      <c r="C8" s="3" t="s">
        <v>136</v>
      </c>
      <c r="D8" t="s">
        <v>168</v>
      </c>
      <c r="E8" t="str">
        <f>"_" &amp; RegPWM[[#This Row],[Obj]]</f>
        <v>_AHU_0205_R21_PWM1</v>
      </c>
      <c r="F8" t="s">
        <v>0</v>
      </c>
      <c r="G8">
        <f t="shared" si="1"/>
        <v>6</v>
      </c>
      <c r="H8" t="s">
        <v>1585</v>
      </c>
      <c r="I8" t="s">
        <v>1335</v>
      </c>
      <c r="J8" t="str">
        <f>SUBSTITUTE(HMIPATH_RegPWM,"$",RegPWM[[#This Row],[ID]])</f>
        <v>ObjRegPWM.InOut[6]</v>
      </c>
      <c r="K8" t="e" cm="1">
        <f t="array" ref="K8">FRegPWM(RegPWM[[#This Row],[Obj]],RegPWM[[#This Row],[Tag]])</f>
        <v>#VALUE!</v>
      </c>
    </row>
    <row r="9" spans="1:11" x14ac:dyDescent="0.3">
      <c r="A9" t="s">
        <v>155</v>
      </c>
      <c r="B9" t="str">
        <f>SUBSTITUTE(RegPWM[[#This Row],[Obj]],"_","-")</f>
        <v>AHU-0206-R25-PWM1</v>
      </c>
      <c r="C9" s="3" t="s">
        <v>137</v>
      </c>
      <c r="D9" t="s">
        <v>169</v>
      </c>
      <c r="E9" t="str">
        <f>"_" &amp; RegPWM[[#This Row],[Obj]]</f>
        <v>_AHU_0206_R25_PWM1</v>
      </c>
      <c r="F9" t="s">
        <v>0</v>
      </c>
      <c r="G9">
        <f t="shared" si="1"/>
        <v>7</v>
      </c>
      <c r="H9" t="s">
        <v>1585</v>
      </c>
      <c r="I9" t="s">
        <v>1335</v>
      </c>
      <c r="J9" t="str">
        <f>SUBSTITUTE(HMIPATH_RegPWM,"$",RegPWM[[#This Row],[ID]])</f>
        <v>ObjRegPWM.InOut[7]</v>
      </c>
      <c r="K9" t="e" cm="1">
        <f t="array" ref="K9">FRegPWM(RegPWM[[#This Row],[Obj]],RegPWM[[#This Row],[Tag]])</f>
        <v>#VALUE!</v>
      </c>
    </row>
    <row r="10" spans="1:11" x14ac:dyDescent="0.3">
      <c r="A10" t="s">
        <v>155</v>
      </c>
      <c r="B10" t="str">
        <f>SUBSTITUTE(RegPWM[[#This Row],[Obj]],"_","-")</f>
        <v>AHU-0207-R28-PWM1</v>
      </c>
      <c r="C10" s="3" t="s">
        <v>138</v>
      </c>
      <c r="D10" t="s">
        <v>170</v>
      </c>
      <c r="E10" t="str">
        <f>"_" &amp; RegPWM[[#This Row],[Obj]]</f>
        <v>_AHU_0207_R28_PWM1</v>
      </c>
      <c r="F10" t="s">
        <v>0</v>
      </c>
      <c r="G10">
        <f t="shared" si="1"/>
        <v>8</v>
      </c>
      <c r="H10" t="s">
        <v>1585</v>
      </c>
      <c r="I10" t="s">
        <v>1335</v>
      </c>
      <c r="J10" t="str">
        <f>SUBSTITUTE(HMIPATH_RegPWM,"$",RegPWM[[#This Row],[ID]])</f>
        <v>ObjRegPWM.InOut[8]</v>
      </c>
      <c r="K10" t="e" cm="1">
        <f t="array" ref="K10">FRegPWM(RegPWM[[#This Row],[Obj]],RegPWM[[#This Row],[Tag]])</f>
        <v>#VALUE!</v>
      </c>
    </row>
    <row r="11" spans="1:11" x14ac:dyDescent="0.3">
      <c r="A11" t="s">
        <v>155</v>
      </c>
      <c r="B11" t="str">
        <f>SUBSTITUTE(RegPWM[[#This Row],[Obj]],"_","-")</f>
        <v>AHU-0208-R31-PWM1</v>
      </c>
      <c r="C11" s="3" t="s">
        <v>139</v>
      </c>
      <c r="D11" t="s">
        <v>171</v>
      </c>
      <c r="E11" t="str">
        <f>"_" &amp; RegPWM[[#This Row],[Obj]]</f>
        <v>_AHU_0208_R31_PWM1</v>
      </c>
      <c r="F11" t="s">
        <v>0</v>
      </c>
      <c r="G11">
        <f t="shared" si="1"/>
        <v>9</v>
      </c>
      <c r="H11" t="s">
        <v>1585</v>
      </c>
      <c r="I11" t="s">
        <v>1335</v>
      </c>
      <c r="J11" t="str">
        <f>SUBSTITUTE(HMIPATH_RegPWM,"$",RegPWM[[#This Row],[ID]])</f>
        <v>ObjRegPWM.InOut[9]</v>
      </c>
      <c r="K11" t="e" cm="1">
        <f t="array" ref="K11">FRegPWM(RegPWM[[#This Row],[Obj]],RegPWM[[#This Row],[Tag]])</f>
        <v>#VALUE!</v>
      </c>
    </row>
    <row r="12" spans="1:11" x14ac:dyDescent="0.3">
      <c r="A12" t="s">
        <v>155</v>
      </c>
      <c r="B12" t="str">
        <f>SUBSTITUTE(RegPWM[[#This Row],[Obj]],"_","-")</f>
        <v>AHU-0208-R34-PWM1</v>
      </c>
      <c r="C12" s="3" t="s">
        <v>139</v>
      </c>
      <c r="D12" t="s">
        <v>172</v>
      </c>
      <c r="E12" t="str">
        <f>"_" &amp; RegPWM[[#This Row],[Obj]]</f>
        <v>_AHU_0208_R34_PWM1</v>
      </c>
      <c r="F12" t="s">
        <v>0</v>
      </c>
      <c r="G12">
        <f t="shared" si="1"/>
        <v>10</v>
      </c>
      <c r="H12" t="s">
        <v>1585</v>
      </c>
      <c r="I12" t="s">
        <v>1335</v>
      </c>
      <c r="J12" t="str">
        <f>SUBSTITUTE(HMIPATH_RegPWM,"$",RegPWM[[#This Row],[ID]])</f>
        <v>ObjRegPWM.InOut[10]</v>
      </c>
      <c r="K12" t="e" cm="1">
        <f t="array" ref="K12">FRegPWM(RegPWM[[#This Row],[Obj]],RegPWM[[#This Row],[Tag]])</f>
        <v>#VALUE!</v>
      </c>
    </row>
    <row r="13" spans="1:11" x14ac:dyDescent="0.3">
      <c r="A13" t="s">
        <v>155</v>
      </c>
      <c r="B13" t="str">
        <f>SUBSTITUTE(RegPWM[[#This Row],[Obj]],"_","-")</f>
        <v>AHU-0209-R01-PWM1</v>
      </c>
      <c r="C13" s="3" t="s">
        <v>140</v>
      </c>
      <c r="D13" t="s">
        <v>173</v>
      </c>
      <c r="E13" t="str">
        <f>"_" &amp; RegPWM[[#This Row],[Obj]]</f>
        <v>_AHU_0209_R01_PWM1</v>
      </c>
      <c r="F13" t="s">
        <v>0</v>
      </c>
      <c r="G13">
        <f t="shared" si="1"/>
        <v>11</v>
      </c>
      <c r="H13" t="s">
        <v>1585</v>
      </c>
      <c r="I13" t="s">
        <v>1335</v>
      </c>
      <c r="J13" t="str">
        <f>SUBSTITUTE(HMIPATH_RegPWM,"$",RegPWM[[#This Row],[ID]])</f>
        <v>ObjRegPWM.InOut[11]</v>
      </c>
      <c r="K13" t="e" cm="1">
        <f t="array" ref="K13">FRegPWM(RegPWM[[#This Row],[Obj]],RegPWM[[#This Row],[Tag]])</f>
        <v>#VALUE!</v>
      </c>
    </row>
    <row r="14" spans="1:11" x14ac:dyDescent="0.3">
      <c r="A14" t="s">
        <v>155</v>
      </c>
      <c r="B14" t="str">
        <f>SUBSTITUTE(RegPWM[[#This Row],[Obj]],"_","-")</f>
        <v>AHU-0209-R02-PWM1</v>
      </c>
      <c r="C14" s="3" t="s">
        <v>140</v>
      </c>
      <c r="D14" t="s">
        <v>174</v>
      </c>
      <c r="E14" t="str">
        <f>"_" &amp; RegPWM[[#This Row],[Obj]]</f>
        <v>_AHU_0209_R02_PWM1</v>
      </c>
      <c r="F14" t="s">
        <v>0</v>
      </c>
      <c r="G14">
        <f t="shared" si="1"/>
        <v>12</v>
      </c>
      <c r="H14" t="s">
        <v>1585</v>
      </c>
      <c r="I14" t="s">
        <v>1335</v>
      </c>
      <c r="J14" t="str">
        <f>SUBSTITUTE(HMIPATH_RegPWM,"$",RegPWM[[#This Row],[ID]])</f>
        <v>ObjRegPWM.InOut[12]</v>
      </c>
      <c r="K14" t="e" cm="1">
        <f t="array" ref="K14">FRegPWM(RegPWM[[#This Row],[Obj]],RegPWM[[#This Row],[Tag]])</f>
        <v>#VALUE!</v>
      </c>
    </row>
    <row r="15" spans="1:11" x14ac:dyDescent="0.3">
      <c r="A15" t="s">
        <v>155</v>
      </c>
      <c r="B15" t="str">
        <f>SUBSTITUTE(RegPWM[[#This Row],[Obj]],"_","-")</f>
        <v>AHU-0209-RMD-PWM1</v>
      </c>
      <c r="C15" s="3" t="s">
        <v>140</v>
      </c>
      <c r="D15" t="s">
        <v>175</v>
      </c>
      <c r="E15" t="str">
        <f>"_" &amp; RegPWM[[#This Row],[Obj]]</f>
        <v>_AHU_0209_RMD_PWM1</v>
      </c>
      <c r="F15" t="s">
        <v>0</v>
      </c>
      <c r="G15">
        <f t="shared" si="1"/>
        <v>13</v>
      </c>
      <c r="H15" t="s">
        <v>1585</v>
      </c>
      <c r="I15" t="s">
        <v>1335</v>
      </c>
      <c r="J15" t="str">
        <f>SUBSTITUTE(HMIPATH_RegPWM,"$",RegPWM[[#This Row],[ID]])</f>
        <v>ObjRegPWM.InOut[13]</v>
      </c>
      <c r="K15" t="e" cm="1">
        <f t="array" ref="K15">FRegPWM(RegPWM[[#This Row],[Obj]],RegPWM[[#This Row],[Tag]])</f>
        <v>#VALUE!</v>
      </c>
    </row>
    <row r="16" spans="1:11" x14ac:dyDescent="0.3">
      <c r="A16" t="s">
        <v>155</v>
      </c>
      <c r="B16" t="str">
        <f>SUBSTITUTE(RegPWM[[#This Row],[Obj]],"_","-")</f>
        <v/>
      </c>
      <c r="C16" s="3"/>
      <c r="E16" t="str">
        <f>"_" &amp; RegPWM[[#This Row],[Obj]]</f>
        <v>_</v>
      </c>
      <c r="F16" t="s">
        <v>0</v>
      </c>
      <c r="G16">
        <f t="shared" si="1"/>
        <v>14</v>
      </c>
      <c r="H16" t="s">
        <v>1585</v>
      </c>
      <c r="I16" t="s">
        <v>1335</v>
      </c>
      <c r="J16" t="str">
        <f>SUBSTITUTE(HMIPATH_RegPWM,"$",RegPWM[[#This Row],[ID]])</f>
        <v>ObjRegPWM.InOut[14]</v>
      </c>
      <c r="K16" t="str" cm="1">
        <f t="array" ref="K16">FRegPWM(RegPWM[[#This Row],[Obj]],RegPWM[[#This Row],[Tag]])</f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81B28BD7AF6F4492FF41D34D126ADC" ma:contentTypeVersion="10" ma:contentTypeDescription="Create a new document." ma:contentTypeScope="" ma:versionID="d3b193bed737adecc8656f46522edac2">
  <xsd:schema xmlns:xsd="http://www.w3.org/2001/XMLSchema" xmlns:xs="http://www.w3.org/2001/XMLSchema" xmlns:p="http://schemas.microsoft.com/office/2006/metadata/properties" xmlns:ns2="a8347b57-fdb9-4997-9a4f-2dcf7323855f" targetNamespace="http://schemas.microsoft.com/office/2006/metadata/properties" ma:root="true" ma:fieldsID="cc6a05627a30746ef7ad30d44b37ea77" ns2:_="">
    <xsd:import namespace="a8347b57-fdb9-4997-9a4f-2dcf732385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347b57-fdb9-4997-9a4f-2dcf732385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025CCA-8C87-4BAC-A614-BCDF57E88BD0}">
  <ds:schemaRefs>
    <ds:schemaRef ds:uri="http://purl.org/dc/terms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a8347b57-fdb9-4997-9a4f-2dcf7323855f"/>
  </ds:schemaRefs>
</ds:datastoreItem>
</file>

<file path=customXml/itemProps2.xml><?xml version="1.0" encoding="utf-8"?>
<ds:datastoreItem xmlns:ds="http://schemas.openxmlformats.org/officeDocument/2006/customXml" ds:itemID="{6D3A1348-7BC5-4CDE-8B62-9A4F9870DC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347b57-fdb9-4997-9a4f-2dcf732385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CFB2F8-0507-4546-A157-A27709F4F43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C799F7F-DE05-4598-9068-368ECF76D22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49</vt:i4>
      </vt:variant>
    </vt:vector>
  </HeadingPairs>
  <TitlesOfParts>
    <vt:vector size="77" baseType="lpstr">
      <vt:lpstr>CombineQuery</vt:lpstr>
      <vt:lpstr>IOFunctionBlock </vt:lpstr>
      <vt:lpstr>IODataBlock</vt:lpstr>
      <vt:lpstr>HMI</vt:lpstr>
      <vt:lpstr>AnalogueMeasure</vt:lpstr>
      <vt:lpstr>DigitalInput</vt:lpstr>
      <vt:lpstr>MotorMod</vt:lpstr>
      <vt:lpstr>ValveOnOff</vt:lpstr>
      <vt:lpstr>ValveMod</vt:lpstr>
      <vt:lpstr>MotorOnOff</vt:lpstr>
      <vt:lpstr>ContPID</vt:lpstr>
      <vt:lpstr>Unit</vt:lpstr>
      <vt:lpstr>TempManager</vt:lpstr>
      <vt:lpstr>FunctionTemplates</vt:lpstr>
      <vt:lpstr>Eql_Query</vt:lpstr>
      <vt:lpstr>Settings</vt:lpstr>
      <vt:lpstr>IO_AnalogueMeasure</vt:lpstr>
      <vt:lpstr>IO_MotorModulating</vt:lpstr>
      <vt:lpstr>IO_ValveModulating</vt:lpstr>
      <vt:lpstr>IO_MotorOnOff</vt:lpstr>
      <vt:lpstr>IoListQuery</vt:lpstr>
      <vt:lpstr>IO_ValveOnOff</vt:lpstr>
      <vt:lpstr>IO_DigitalInput</vt:lpstr>
      <vt:lpstr>IO_RegPWM</vt:lpstr>
      <vt:lpstr>QueryAlarmTypes</vt:lpstr>
      <vt:lpstr>Sheet1</vt:lpstr>
      <vt:lpstr>QueryDI Alarms</vt:lpstr>
      <vt:lpstr>PWM</vt:lpstr>
      <vt:lpstr>CAV_FEEDBACK</vt:lpstr>
      <vt:lpstr>CAV_REFERENCE</vt:lpstr>
      <vt:lpstr>COMM_CLOSED</vt:lpstr>
      <vt:lpstr>COMM_ERROR</vt:lpstr>
      <vt:lpstr>COMM_OPEN</vt:lpstr>
      <vt:lpstr>COOM_OPEN</vt:lpstr>
      <vt:lpstr>ECBLUE_DB</vt:lpstr>
      <vt:lpstr>ECBLUE_ERROR</vt:lpstr>
      <vt:lpstr>ECBLUE_REFERENCE</vt:lpstr>
      <vt:lpstr>ECBLUE_RUN</vt:lpstr>
      <vt:lpstr>ECBLUE_SPEED</vt:lpstr>
      <vt:lpstr>ECBLUE_START</vt:lpstr>
      <vt:lpstr>ECBLUE_TEMP</vt:lpstr>
      <vt:lpstr>FLOW_NOZZLE</vt:lpstr>
      <vt:lpstr>FUN_AMSCall</vt:lpstr>
      <vt:lpstr>FUN_AMSCall_V2</vt:lpstr>
      <vt:lpstr>FUN_AnalogueMeasure</vt:lpstr>
      <vt:lpstr>FUN_ContPID</vt:lpstr>
      <vt:lpstr>FUN_DigitalInput</vt:lpstr>
      <vt:lpstr>FUN_ECBLUE</vt:lpstr>
      <vt:lpstr>FUN_ECBLUE_DATA_TO_HMI</vt:lpstr>
      <vt:lpstr>FUN_ItlkDoor</vt:lpstr>
      <vt:lpstr>FUN_MotorModulating</vt:lpstr>
      <vt:lpstr>FUN_MotorOnOFF</vt:lpstr>
      <vt:lpstr>FUN_RegPWM</vt:lpstr>
      <vt:lpstr>FUN_ValveModulating</vt:lpstr>
      <vt:lpstr>FUN_ValveOnOff</vt:lpstr>
      <vt:lpstr>HMIPATH_AnalogueMeasure</vt:lpstr>
      <vt:lpstr>HMIPATH_ContPID</vt:lpstr>
      <vt:lpstr>HMIPATH_DigitalInput</vt:lpstr>
      <vt:lpstr>HMIPATH_ItlkDoor</vt:lpstr>
      <vt:lpstr>HMIPATH_MotorModulating</vt:lpstr>
      <vt:lpstr>HMIPATH_MotorOnOFF</vt:lpstr>
      <vt:lpstr>HMIPATH_RegPWM</vt:lpstr>
      <vt:lpstr>HMIPATH_TempManager</vt:lpstr>
      <vt:lpstr>HMIPATH_Unit</vt:lpstr>
      <vt:lpstr>HMIPATH_ValveModulating</vt:lpstr>
      <vt:lpstr>HMIPATH_ValveOnOff</vt:lpstr>
      <vt:lpstr>MUX_AnalogueMeasure</vt:lpstr>
      <vt:lpstr>MUX_ContPID</vt:lpstr>
      <vt:lpstr>MUX_DigitalInput</vt:lpstr>
      <vt:lpstr>MUX_MotorModulating</vt:lpstr>
      <vt:lpstr>MUX_MotorOnOff</vt:lpstr>
      <vt:lpstr>MUX_TemperatureManager</vt:lpstr>
      <vt:lpstr>MUX_TempManager</vt:lpstr>
      <vt:lpstr>MUX_Unit</vt:lpstr>
      <vt:lpstr>MUX_ValveModulating</vt:lpstr>
      <vt:lpstr>MUX_ValveOnOff</vt:lpstr>
      <vt:lpstr>PLC_PREFIX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Uroš Birčanin</dc:creator>
  <cp:lastModifiedBy>Nikola Brenjo</cp:lastModifiedBy>
  <dcterms:created xsi:type="dcterms:W3CDTF">2021-03-24T07:57:15Z</dcterms:created>
  <dcterms:modified xsi:type="dcterms:W3CDTF">2025-01-14T17:25:38Z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0x0101006A81B28BD7AF6F4492FF41D34D126ADC</vt:lpwstr>
  </property>
</Properties>
</file>